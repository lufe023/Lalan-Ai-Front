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ieza aquí" sheetId="1" state="visible" r:id="rId3"/>
    <sheet name="Piloto" sheetId="2" state="visible" r:id="rId4"/>
    <sheet name="Salones" sheetId="3" state="visible" r:id="rId5"/>
    <sheet name="Mes a mes" sheetId="4" state="visible" r:id="rId6"/>
    <sheet name="Qué medir" sheetId="5" state="visible" r:id="rId7"/>
    <sheet name="Lista de lanzamiento" sheetId="6" state="visible" r:id="rId8"/>
  </sheets>
  <definedNames>
    <definedName function="false" hidden="false" name="Colchon" vbProcedure="false">Piloto!$B$32</definedName>
    <definedName function="false" hidden="false" name="ColchonIA" vbProcedure="false">Piloto!$B$28</definedName>
    <definedName function="false" hidden="false" name="CostoIAMensaje" vbProcedure="false">Piloto!$B$23</definedName>
    <definedName function="false" hidden="false" name="DescuentoPiloto" vbProcedure="false">Piloto!$B$15</definedName>
    <definedName function="false" hidden="false" name="Dominio" vbProcedure="false">Piloto!$B$26</definedName>
    <definedName function="false" hidden="false" name="FactorCambio" vbProcedure="false">Piloto!$B$36</definedName>
    <definedName function="false" hidden="false" name="FactorNeto" vbProcedure="false">Piloto!$B$21</definedName>
    <definedName function="false" hidden="false" name="InicioPiloto" vbProcedure="false">Piloto!$B$16</definedName>
    <definedName function="false" hidden="false" name="Material" vbProcedure="false">Piloto!$B$34</definedName>
    <definedName function="false" hidden="false" name="MensajesPruebas" vbProcedure="false">Piloto!$B$24</definedName>
    <definedName function="false" hidden="false" name="MesesPiloto" vbProcedure="false">Piloto!$B$14</definedName>
    <definedName function="false" hidden="false" name="MinimoRecarga" vbProcedure="false">Piloto!$B$29</definedName>
    <definedName function="false" hidden="false" name="Otros" vbProcedure="false">Piloto!$B$35</definedName>
    <definedName function="false" hidden="false" name="PrecioEsencial" vbProcedure="false">Piloto!$B$18</definedName>
    <definedName function="false" hidden="false" name="PrecioLounge" vbProcedure="false">Piloto!$B$20</definedName>
    <definedName function="false" hidden="false" name="PrecioSalon" vbProcedure="false">Piloto!$B$19</definedName>
    <definedName function="false" hidden="false" name="Servidores" vbProcedure="false">Piloto!$B$25</definedName>
    <definedName function="false" hidden="false" name="TasaUSD" vbProcedure="false">Piloto!$B$31</definedName>
    <definedName function="false" hidden="false" name="Tolerancia" vbProcedure="false">'Qué medir'!$B$3</definedName>
    <definedName function="false" hidden="false" name="Visitas" vbProcedure="false">Piloto!$B$33</definedName>
    <definedName function="false" hidden="false" name="VozElevenLabs" vbProcedure="false">Piloto!$B$27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En los meses de piloto, el precio del piloto; después, el de lista.</t>
        </r>
      </text>
    </comment>
    <comment ref="A18" authorId="0">
      <text>
        <r>
          <rPr>
            <sz val="10"/>
            <rFont val="Arial"/>
            <family val="2"/>
          </rPr>
          <t xml:space="preserve">Mensajes de clientas + tus pruebas × costo por mensaje.</t>
        </r>
      </text>
    </comment>
    <comment ref="A33" authorId="0">
      <text>
        <r>
          <rPr>
            <sz val="10"/>
            <rFont val="Arial"/>
            <family val="2"/>
          </rPr>
          <t xml:space="preserve">Lo que llevas puesto (negativo) o ganado desde que empezó el piloto.</t>
        </r>
      </text>
    </comment>
  </commentList>
</comments>
</file>

<file path=xl/sharedStrings.xml><?xml version="1.0" encoding="utf-8"?>
<sst xmlns="http://schemas.openxmlformats.org/spreadsheetml/2006/main" count="224" uniqueCount="190">
  <si>
    <t xml:space="preserve">Lalan AI · Piloto</t>
  </si>
  <si>
    <t xml:space="preserve">Para qué es</t>
  </si>
  <si>
    <t xml:space="preserve">Para planear y seguir el piloto: cuánto cuesta, con qué salones, cuánto recargar en OpenRouter y qué hay que medir. El libro de la empresa ("Lalan AI - Mi empresa") sigue siendo el de las ganancias y las negociaciones con clientes directos.</t>
  </si>
  <si>
    <t xml:space="preserve">Cómo se usa</t>
  </si>
  <si>
    <t xml:space="preserve">1.  Hoja SALONES: una fila por salón del piloto (plan, mes en que entra y cuántos mensajes esperas). Los que hay son ejemplos.</t>
  </si>
  <si>
    <t xml:space="preserve">2.  Hoja PILOTO: cuánto dura, qué descuento les das (100 % = gratis) y tus gastos. Arriba ves el costo total y la recarga de OpenRouter.</t>
  </si>
  <si>
    <t xml:space="preserve">3.  Hoja LISTA DE LANZAMIENTO: lo que tiene que estar listo antes de que escriba la primera clienta.</t>
  </si>
  <si>
    <t xml:space="preserve">4.  Cada semana, hoja QUÉ MEDIR: escribe lo real. Lo que se aleje del supuesto, lo actualizas en el libro de la empresa.</t>
  </si>
  <si>
    <t xml:space="preserve">Colores</t>
  </si>
  <si>
    <t xml:space="preserve">Azul con fondo amarillo = lo escribes tú · Negro = se calcula solo · Rojo = pérdida o tarea con fecha encima</t>
  </si>
  <si>
    <t xml:space="preserve">Lalan AI · El piloto</t>
  </si>
  <si>
    <t xml:space="preserve">Cuánto cuesta el piloto y qué necesitas tener listo. Escribe en las celdas AZULES con fondo amarillo; los salones van en la hoja Salones. Los valores de partida salen del libro de la empresa (26-sep-2026).</t>
  </si>
  <si>
    <t xml:space="preserve">Lo importante</t>
  </si>
  <si>
    <t xml:space="preserve">Salones en el piloto</t>
  </si>
  <si>
    <t xml:space="preserve">Los que tienen nombre en la hoja Salones.</t>
  </si>
  <si>
    <t xml:space="preserve">Lo que cuesta el piloto completo</t>
  </si>
  <si>
    <t xml:space="preserve">Todo lo que sale durante los meses del piloto, en pesos: tarjeta, visitas y material.</t>
  </si>
  <si>
    <t xml:space="preserve">De eso, en la tarjeta (dólares)</t>
  </si>
  <si>
    <t xml:space="preserve">Servidores, dominio e IA durante el piloto.</t>
  </si>
  <si>
    <t xml:space="preserve">Recarga a OpenRouter antes de empezar</t>
  </si>
  <si>
    <t xml:space="preserve">La IA de todo el piloto más el colchón, redondeada a 5. Activa además el aviso de saldo bajo en OpenRouter.</t>
  </si>
  <si>
    <t xml:space="preserve">Lo que te queda de lo cobrado en el piloto</t>
  </si>
  <si>
    <t xml:space="preserve">0 si el piloto es gratis.</t>
  </si>
  <si>
    <t xml:space="preserve">Resultado del piloto</t>
  </si>
  <si>
    <t xml:space="preserve">Negativo = lo que inviertes en el piloto.</t>
  </si>
  <si>
    <t xml:space="preserve">Primer mes que cubre sus gastos</t>
  </si>
  <si>
    <t xml:space="preserve">Con estos salones pagando precio normal después del piloto.</t>
  </si>
  <si>
    <t xml:space="preserve">Reglas del piloto</t>
  </si>
  <si>
    <t xml:space="preserve">Cuántos meses dura el piloto</t>
  </si>
  <si>
    <t xml:space="preserve">meses</t>
  </si>
  <si>
    <t xml:space="preserve">Durante estos meses rige el precio del piloto. En la hoja Mes a mes se ven también los 3 meses siguientes, ya a precio normal.</t>
  </si>
  <si>
    <t xml:space="preserve">Descuento durante el piloto</t>
  </si>
  <si>
    <t xml:space="preserve">%</t>
  </si>
  <si>
    <t xml:space="preserve">100 % = gratis. 50 % = pagan la mitad. Se puede cambiar el precio de un salón concreto en la hoja Salones.</t>
  </si>
  <si>
    <t xml:space="preserve">Primer mes del piloto</t>
  </si>
  <si>
    <t xml:space="preserve">fecha</t>
  </si>
  <si>
    <t xml:space="preserve">Precios de los planes (los mismos del libro de la empresa)</t>
  </si>
  <si>
    <t xml:space="preserve">Esencial</t>
  </si>
  <si>
    <t xml:space="preserve">RD$ / mes</t>
  </si>
  <si>
    <t xml:space="preserve">Con ITBIS incluido.</t>
  </si>
  <si>
    <t xml:space="preserve">Salón</t>
  </si>
  <si>
    <t xml:space="preserve">Lounge</t>
  </si>
  <si>
    <t xml:space="preserve">Parte del precio que te queda (sin ITBIS ni comisión del cobro)</t>
  </si>
  <si>
    <t xml:space="preserve">Del libro de la empresa: con ITBIS incluido (18 %) y 4 % de comisión, de cada RD$ 100 te quedan RD$ 81.</t>
  </si>
  <si>
    <t xml:space="preserve">Lo que cuesta (se paga con tarjeta, en dólares)</t>
  </si>
  <si>
    <t xml:space="preserve">Inteligencia artificial por mensaje de clienta</t>
  </si>
  <si>
    <t xml:space="preserve">US$</t>
  </si>
  <si>
    <t xml:space="preserve">Del libro de la empresa (gpt-4.1-mini con caché y mensajes agrupados). En el piloto lo confirmas en la hoja Qué medir.</t>
  </si>
  <si>
    <t xml:space="preserve">Tus mensajes de prueba al mes</t>
  </si>
  <si>
    <t xml:space="preserve">mensajes</t>
  </si>
  <si>
    <t xml:space="preserve">Tus pruebas gastan igual que una clienta. Al principio son muchas.</t>
  </si>
  <si>
    <t xml:space="preserve">Servidores: app, base de datos y n8n (Railway)</t>
  </si>
  <si>
    <t xml:space="preserve">US$ / mes</t>
  </si>
  <si>
    <t xml:space="preserve">Estimado: US$ 25 app y base de datos + US$ 15 n8n.</t>
  </si>
  <si>
    <t xml:space="preserve">Dominio, correo y respaldos</t>
  </si>
  <si>
    <t xml:space="preserve">Estimado.</t>
  </si>
  <si>
    <t xml:space="preserve">Voz de la dueña (ElevenLabs)</t>
  </si>
  <si>
    <t xml:space="preserve">0 en el piloto: todavía no está construida.</t>
  </si>
  <si>
    <t xml:space="preserve">Colchón de saldo en OpenRouter</t>
  </si>
  <si>
    <t xml:space="preserve">Recarga un poco más de lo que calculas: si un salón escribe mucho más de lo previsto, no se queda sin respuestas.</t>
  </si>
  <si>
    <t xml:space="preserve">Recarga mínima en OpenRouter</t>
  </si>
  <si>
    <t xml:space="preserve">Con US$ 10 o más comprados, OpenRouter sube los límites diarios. Menos de 20 no vale la pena.</t>
  </si>
  <si>
    <t xml:space="preserve">Lo que cuesta en pesos</t>
  </si>
  <si>
    <t xml:space="preserve">Tasa del dólar (venta)</t>
  </si>
  <si>
    <t xml:space="preserve">RD$ por US$</t>
  </si>
  <si>
    <t xml:space="preserve">Banco Central RD, 24-sep-2026. Actualízala.</t>
  </si>
  <si>
    <t xml:space="preserve">Colchón cambiario</t>
  </si>
  <si>
    <t xml:space="preserve">Por si el dólar sube durante el piloto.</t>
  </si>
  <si>
    <t xml:space="preserve">Transporte y visitas a los salones</t>
  </si>
  <si>
    <t xml:space="preserve">Instalar, capacitar y acompañar. EJEMPLO.</t>
  </si>
  <si>
    <t xml:space="preserve">Material de arranque (una sola vez)</t>
  </si>
  <si>
    <t xml:space="preserve">RD$</t>
  </si>
  <si>
    <t xml:space="preserve">Tarjetas con el QR de canciones, stickers, impresiones. Se cuenta en el mes 1. EJEMPLO.</t>
  </si>
  <si>
    <t xml:space="preserve">Otros gastos del piloto al mes</t>
  </si>
  <si>
    <t xml:space="preserve">Lo que no esté arriba.</t>
  </si>
  <si>
    <t xml:space="preserve">→ Cuántos pesos cuesta cada dólar (con colchón)</t>
  </si>
  <si>
    <t xml:space="preserve">Salones del piloto</t>
  </si>
  <si>
    <t xml:space="preserve">Una fila por salón. Los que hay son EJEMPLOS: cámbialos por los tuyos. El precio del piloto sale solo del descuento; si con un salón acordaste otra cosa, escribe encima.</t>
  </si>
  <si>
    <t xml:space="preserve">Plan</t>
  </si>
  <si>
    <t xml:space="preserve">Mes en que entra</t>
  </si>
  <si>
    <t xml:space="preserve">Mensajes de clientas al mes</t>
  </si>
  <si>
    <t xml:space="preserve">Precio de lista (RD$)</t>
  </si>
  <si>
    <t xml:space="preserve">Precio en el piloto (RD$)</t>
  </si>
  <si>
    <t xml:space="preserve">IA al mes (US$)</t>
  </si>
  <si>
    <t xml:space="preserve">Contacto / nota</t>
  </si>
  <si>
    <t xml:space="preserve">Salón ejemplo · uñas</t>
  </si>
  <si>
    <t xml:space="preserve">EJEMPLO: local de uñas, 1 manicurista</t>
  </si>
  <si>
    <t xml:space="preserve">Salón ejemplo · barrio</t>
  </si>
  <si>
    <t xml:space="preserve">EJEMPLO</t>
  </si>
  <si>
    <t xml:space="preserve">Salón ejemplo · spa</t>
  </si>
  <si>
    <t xml:space="preserve">EJEMPLO: tiene Lounge y música</t>
  </si>
  <si>
    <t xml:space="preserve">Salón ejemplo · amiga</t>
  </si>
  <si>
    <t xml:space="preserve">EJEMPLO: entra el segundo mes</t>
  </si>
  <si>
    <t xml:space="preserve">Total</t>
  </si>
  <si>
    <t xml:space="preserve">Mensajes de clientas al mes, como referencia: un local pequeño 100-200, un salón con equipo 300-500, un spa con Lounge 600-1.000. Lo real lo ves en Métricas → Lo que hizo Lalan.</t>
  </si>
  <si>
    <t xml:space="preserve">El piloto mes a mes</t>
  </si>
  <si>
    <t xml:space="preserve">Durante el piloto y los 3 meses siguientes, ya a precio normal. No se edita: sale de Piloto y Salones.</t>
  </si>
  <si>
    <t xml:space="preserve">Concepto</t>
  </si>
  <si>
    <t xml:space="preserve">Mes n.º</t>
  </si>
  <si>
    <t xml:space="preserve">¿Es mes de piloto?</t>
  </si>
  <si>
    <t xml:space="preserve">Salones</t>
  </si>
  <si>
    <t xml:space="preserve">Mensajes de clientas</t>
  </si>
  <si>
    <t xml:space="preserve">Lo que entra</t>
  </si>
  <si>
    <t xml:space="preserve">Cobrado a los salones</t>
  </si>
  <si>
    <t xml:space="preserve">Lo que te queda (sin ITBIS ni comisión)</t>
  </si>
  <si>
    <t xml:space="preserve">Lo que sale (en dólares)</t>
  </si>
  <si>
    <t xml:space="preserve">Inteligencia artificial (OpenRouter)</t>
  </si>
  <si>
    <t xml:space="preserve">Servidores</t>
  </si>
  <si>
    <t xml:space="preserve">Voz (ElevenLabs)</t>
  </si>
  <si>
    <t xml:space="preserve">Total en dólares</t>
  </si>
  <si>
    <t xml:space="preserve">Lo que sale (en pesos)</t>
  </si>
  <si>
    <t xml:space="preserve">Los dólares, pasados a pesos</t>
  </si>
  <si>
    <t xml:space="preserve">Transporte y visitas</t>
  </si>
  <si>
    <t xml:space="preserve">Material de arranque</t>
  </si>
  <si>
    <t xml:space="preserve">Otros</t>
  </si>
  <si>
    <t xml:space="preserve">TODO LO QUE SALE</t>
  </si>
  <si>
    <t xml:space="preserve">Resultado</t>
  </si>
  <si>
    <t xml:space="preserve">Resultado del mes</t>
  </si>
  <si>
    <t xml:space="preserve">Acumulado</t>
  </si>
  <si>
    <t xml:space="preserve">¿Cubre sus gastos? (1 = sí)</t>
  </si>
  <si>
    <t xml:space="preserve">Qué medir en el piloto</t>
  </si>
  <si>
    <t xml:space="preserve">El piloto sirve para cambiar supuestos por datos. Escribe el valor real cuando lo tengas: si se aleja más de lo tolerado, actualiza ese número en el libro de la empresa (Supuestos o Planes).</t>
  </si>
  <si>
    <t xml:space="preserve">Tolerancia antes de actualizar</t>
  </si>
  <si>
    <t xml:space="preserve">Qué</t>
  </si>
  <si>
    <t xml:space="preserve">Supuesto (libro de la empresa)</t>
  </si>
  <si>
    <t xml:space="preserve">Real en el piloto</t>
  </si>
  <si>
    <t xml:space="preserve">Dónde se ve</t>
  </si>
  <si>
    <t xml:space="preserve">Diferencia</t>
  </si>
  <si>
    <t xml:space="preserve">¿Qué hacer?</t>
  </si>
  <si>
    <t xml:space="preserve">Mensajes de clientas al mes (salón típico)</t>
  </si>
  <si>
    <t xml:space="preserve">Métricas → Lo que hizo Lalan (Chats atendidos, respuestas), 'Este mes'.</t>
  </si>
  <si>
    <t xml:space="preserve">Costo de IA por mensaje de clienta</t>
  </si>
  <si>
    <t xml:space="preserve">OpenRouter → Activity: gasto del mes ÷ mensajes de clientas del mes.</t>
  </si>
  <si>
    <t xml:space="preserve">Tokens de entrada por llamada</t>
  </si>
  <si>
    <t xml:space="preserve">OpenRouter → Activity → una llamada cualquiera (Tokens / prompt).</t>
  </si>
  <si>
    <t xml:space="preserve">Parte de la entrada en caché</t>
  </si>
  <si>
    <t xml:space="preserve">OpenRouter → Activity: cached tokens ÷ tokens de entrada.</t>
  </si>
  <si>
    <t xml:space="preserve">Mensajes que llegan en ráfaga (se contestan juntos)</t>
  </si>
  <si>
    <t xml:space="preserve">1 − (respuestas de Lalan ÷ mensajes de clientas).</t>
  </si>
  <si>
    <t xml:space="preserve">Mensajes que llegan como nota de voz</t>
  </si>
  <si>
    <t xml:space="preserve">Chats: cuántos dicen '(Nota de voz)'.</t>
  </si>
  <si>
    <t xml:space="preserve">Parte de las citas que agenda Lalan</t>
  </si>
  <si>
    <t xml:space="preserve">Métricas → 'Agendó el X % de las que se agendaron'.</t>
  </si>
  <si>
    <t xml:space="preserve">Horas de soporte por salón al mes</t>
  </si>
  <si>
    <t xml:space="preserve">Anótalo tú: llamadas, visitas, dudas por WhatsApp.</t>
  </si>
  <si>
    <t xml:space="preserve">Búsquedas de música por salón al día (Lounge)</t>
  </si>
  <si>
    <t xml:space="preserve">Google Cloud → YouTube Data API → Cuotas (unidades ÷ 100 ÷ salones).</t>
  </si>
  <si>
    <t xml:space="preserve">Salones que se van durante el piloto</t>
  </si>
  <si>
    <t xml:space="preserve">Los que dejan de usarlo. Si alguno se va, pregúntale por qué.</t>
  </si>
  <si>
    <t xml:space="preserve">Antes de que la primera clienta escriba</t>
  </si>
  <si>
    <t xml:space="preserve">Marca 'Sí' cuando esté hecho. Lo que va en rojo tiene fecha que no espera.</t>
  </si>
  <si>
    <t xml:space="preserve">Tarea</t>
  </si>
  <si>
    <t xml:space="preserve">¿Hecho?</t>
  </si>
  <si>
    <t xml:space="preserve">Quién</t>
  </si>
  <si>
    <t xml:space="preserve">Fecha límite</t>
  </si>
  <si>
    <t xml:space="preserve">Nota</t>
  </si>
  <si>
    <t xml:space="preserve">Meta: poner método de pago en la cuenta de WhatsApp Business</t>
  </si>
  <si>
    <t xml:space="preserve">No</t>
  </si>
  <si>
    <t xml:space="preserve">Desde el 1-oct Meta cobra las respuestas pasadas las 1.000 gratis. Cada salón, su propia tarjeta.</t>
  </si>
  <si>
    <t xml:space="preserve">Meta: plantillas de aviso a la dueña aprobadas</t>
  </si>
  <si>
    <t xml:space="preserve">lalan_chat_atencion y lalan_cita_sin_especialista.</t>
  </si>
  <si>
    <t xml:space="preserve">OpenRouter: recargar (ver hoja Piloto) y activar aviso de saldo bajo</t>
  </si>
  <si>
    <t xml:space="preserve">Sin saldo, Lalan no responde (la app avisa a la dueña).</t>
  </si>
  <si>
    <t xml:space="preserve">Backend: correr el SQL de categorías, db push y reiniciar</t>
  </si>
  <si>
    <t xml:space="preserve">prisma/sql/2026-09-26-categorias-propias.sql, luego npx prisma db push.</t>
  </si>
  <si>
    <t xml:space="preserve">n8n: reimportar los dos flujos y elegir la credencial Lalan · Secreto</t>
  </si>
  <si>
    <t xml:space="preserve">Entrada WhatsApp (con el nodo '¿Sigue vigente?') y Salidas.</t>
  </si>
  <si>
    <t xml:space="preserve">Servidor fijo en lugar del túnel de desarrollo</t>
  </si>
  <si>
    <t xml:space="preserve">La URL de la API en 'Configuración Lalan' tiene que ser la del servidor, no devtunnels.</t>
  </si>
  <si>
    <t xml:space="preserve">Respaldo automático de la base de datos</t>
  </si>
  <si>
    <t xml:space="preserve">Diario. Probar una vez que se puede restaurar.</t>
  </si>
  <si>
    <t xml:space="preserve">Por cada salón: conectar su número de WhatsApp</t>
  </si>
  <si>
    <t xml:space="preserve">Panel de bots → WhatsApp → phone number ID.</t>
  </si>
  <si>
    <t xml:space="preserve">Por cada salón: moneda base, tasa del dólar y catálogo en la moneda correcta</t>
  </si>
  <si>
    <t xml:space="preserve">Ajustes → Monedas.</t>
  </si>
  <si>
    <t xml:space="preserve">Por cada salón: zonas con sus categorías y especialistas</t>
  </si>
  <si>
    <t xml:space="preserve">Sin esto Lalan no sabe a quién darle cada cita.</t>
  </si>
  <si>
    <t xml:space="preserve">Por cada salón: número y nombre para los avisos a la dueña</t>
  </si>
  <si>
    <t xml:space="preserve">Ajustes → avisos por WhatsApp.</t>
  </si>
  <si>
    <t xml:space="preserve">Por cada salón: 15 minutos de capacitación con la dueña</t>
  </si>
  <si>
    <t xml:space="preserve">Cómo retomar un chat, cómo contestar un aviso, dónde ver Métricas.</t>
  </si>
  <si>
    <t xml:space="preserve">Acordar por escrito las reglas del piloto</t>
  </si>
  <si>
    <t xml:space="preserve">Cuánto dura, qué cuesta después, qué pasa con sus datos si se va.</t>
  </si>
  <si>
    <t xml:space="preserve">Grupo de WhatsApp de soporte con las dueñas</t>
  </si>
  <si>
    <t xml:space="preserve">Un solo lugar para dudas; anota las horas en la hoja Qué medir.</t>
  </si>
  <si>
    <t xml:space="preserve">YouTube: pedir más cuota si hay 3 o más salones con Lounge</t>
  </si>
  <si>
    <t xml:space="preserve">Es gratis pero tarda semanas.</t>
  </si>
  <si>
    <t xml:space="preserve">Revisión al final de cada semana: hoja Qué medir</t>
  </si>
  <si>
    <t xml:space="preserve">Lo que se aleje, al libro de la empresa.</t>
  </si>
  <si>
    <t xml:space="preserve">Hechas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</si>
</sst>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;\(#,##0\);\-"/>
    <numFmt numFmtId="166" formatCode="&quot;RD$&quot;#,##0;&quot;(RD$&quot;#,##0\);\-"/>
    <numFmt numFmtId="167" formatCode="&quot;US$&quot;#,##0.00;&quot;(US$&quot;#,##0.00\);\-"/>
    <numFmt numFmtId="168" formatCode="mmmm\ yyyy"/>
    <numFmt numFmtId="169" formatCode="0"/>
    <numFmt numFmtId="170" formatCode="0%;\(0%\);\-"/>
    <numFmt numFmtId="171" formatCode="mmm\ yyyy"/>
    <numFmt numFmtId="172" formatCode="&quot;US$&quot;#,##0.0000;&quot;(US$&quot;#,##0.0000\);\-"/>
    <numFmt numFmtId="173" formatCode="#,##0.0000"/>
    <numFmt numFmtId="174" formatCode="#,##0.00"/>
    <numFmt numFmtId="175" formatCode="mmm\ yy"/>
    <numFmt numFmtId="176" formatCode="\+0%;\-0%;0%"/>
    <numFmt numFmtId="177" formatCode="#,##0.00;\(#,##0.00\);\-"/>
    <numFmt numFmtId="178" formatCode="dd\-mmm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A2E46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6EE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  <sz val="13"/>
      </font>
    </dxf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008000"/>
      </font>
    </dxf>
    <dxf>
      <font>
        <name val="Arial"/>
        <charset val="1"/>
        <family val="0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46"/>
      <rgbColor rgb="FFF6EEF1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8.5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27.75" hidden="false" customHeight="true" outlineLevel="0" collapsed="false">
      <c r="B4" s="3" t="s">
        <v>2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2" t="s">
        <v>3</v>
      </c>
    </row>
    <row r="7" customFormat="false" ht="27.75" hidden="false" customHeight="true" outlineLevel="0" collapsed="false">
      <c r="B7" s="3" t="s">
        <v>4</v>
      </c>
    </row>
    <row r="8" customFormat="false" ht="27.75" hidden="false" customHeight="tru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27.75" hidden="false" customHeight="true" outlineLevel="0" collapsed="false">
      <c r="B10" s="3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8.55" hidden="false" customHeight="false" outlineLevel="0" collapsed="false">
      <c r="A1" s="1" t="s">
        <v>10</v>
      </c>
    </row>
    <row r="2" customFormat="false" ht="15" hidden="false" customHeight="false" outlineLevel="0" collapsed="false">
      <c r="A2" s="4" t="s">
        <v>11</v>
      </c>
    </row>
    <row r="4" customFormat="false" ht="15" hidden="false" customHeight="false" outlineLevel="0" collapsed="false">
      <c r="A4" s="5" t="s">
        <v>12</v>
      </c>
      <c r="B4" s="6"/>
      <c r="C4" s="6"/>
      <c r="D4" s="6"/>
    </row>
    <row r="5" customFormat="false" ht="16.15" hidden="false" customHeight="false" outlineLevel="0" collapsed="false">
      <c r="A5" s="7" t="s">
        <v>13</v>
      </c>
      <c r="B5" s="8" t="n">
        <f aca="false">COUNTA(Salones!$A$5:$A$16)</f>
        <v>4</v>
      </c>
      <c r="C5" s="9"/>
      <c r="D5" s="10" t="s">
        <v>14</v>
      </c>
    </row>
    <row r="6" customFormat="false" ht="16.15" hidden="false" customHeight="false" outlineLevel="0" collapsed="false">
      <c r="A6" s="7" t="s">
        <v>15</v>
      </c>
      <c r="B6" s="11" t="n">
        <f aca="false">SUMIFS('Mes a mes'!$C$29:$H$29,'Mes a mes'!$C$5:$H$5,"&lt;="&amp;MesesPiloto)</f>
        <v>18245.4013398</v>
      </c>
      <c r="C6" s="9"/>
      <c r="D6" s="10" t="s">
        <v>16</v>
      </c>
    </row>
    <row r="7" customFormat="false" ht="16.15" hidden="false" customHeight="false" outlineLevel="0" collapsed="false">
      <c r="A7" s="7" t="s">
        <v>17</v>
      </c>
      <c r="B7" s="12" t="n">
        <f aca="false">SUMIFS('Mes a mes'!$C$22:$H$22,'Mes a mes'!$C$5:$H$5,"&lt;="&amp;MesesPiloto)</f>
        <v>167.325</v>
      </c>
      <c r="C7" s="9"/>
      <c r="D7" s="10" t="s">
        <v>18</v>
      </c>
    </row>
    <row r="8" customFormat="false" ht="22.35" hidden="false" customHeight="false" outlineLevel="0" collapsed="false">
      <c r="A8" s="7" t="s">
        <v>19</v>
      </c>
      <c r="B8" s="12" t="n">
        <f aca="false">MAX(MinimoRecarga,CEILING(SUMIFS('Mes a mes'!$C$18:$H$18,'Mes a mes'!$C$5:$H$5,"&lt;="&amp;MesesPiloto)*(1+ColchonIA),5))</f>
        <v>30</v>
      </c>
      <c r="C8" s="9"/>
      <c r="D8" s="10" t="s">
        <v>20</v>
      </c>
    </row>
    <row r="9" customFormat="false" ht="16.15" hidden="false" customHeight="false" outlineLevel="0" collapsed="false">
      <c r="A9" s="7" t="s">
        <v>21</v>
      </c>
      <c r="B9" s="11" t="n">
        <f aca="false">SUMIFS('Mes a mes'!$C$15:$H$15,'Mes a mes'!$C$5:$H$5,"&lt;="&amp;MesesPiloto)</f>
        <v>0</v>
      </c>
      <c r="C9" s="9"/>
      <c r="D9" s="10" t="s">
        <v>22</v>
      </c>
    </row>
    <row r="10" customFormat="false" ht="16.15" hidden="false" customHeight="false" outlineLevel="0" collapsed="false">
      <c r="A10" s="7" t="s">
        <v>23</v>
      </c>
      <c r="B10" s="11" t="n">
        <f aca="false">SUMIFS('Mes a mes'!$C$32:$H$32,'Mes a mes'!$C$5:$H$5,"&lt;="&amp;MesesPiloto)</f>
        <v>-18245.4013398</v>
      </c>
      <c r="C10" s="9"/>
      <c r="D10" s="10" t="s">
        <v>24</v>
      </c>
    </row>
    <row r="11" customFormat="false" ht="16.15" hidden="false" customHeight="false" outlineLevel="0" collapsed="false">
      <c r="A11" s="7" t="s">
        <v>25</v>
      </c>
      <c r="B11" s="13" t="str">
        <f aca="false">IFERROR(INDEX('Mes a mes'!$C$4:$H$4,1,MATCH(1,'Mes a mes'!$C$34:$H$34,0)),"Ninguno en estos 6 meses")</f>
        <v>Ninguno en estos 6 meses</v>
      </c>
      <c r="C11" s="9"/>
      <c r="D11" s="10" t="s">
        <v>26</v>
      </c>
    </row>
    <row r="13" customFormat="false" ht="15" hidden="false" customHeight="false" outlineLevel="0" collapsed="false">
      <c r="A13" s="5" t="s">
        <v>27</v>
      </c>
      <c r="B13" s="6"/>
      <c r="C13" s="6"/>
      <c r="D13" s="6"/>
    </row>
    <row r="14" customFormat="false" ht="22.35" hidden="false" customHeight="false" outlineLevel="0" collapsed="false">
      <c r="A14" s="7" t="s">
        <v>28</v>
      </c>
      <c r="B14" s="14" t="n">
        <v>3</v>
      </c>
      <c r="C14" s="15" t="s">
        <v>29</v>
      </c>
      <c r="D14" s="10" t="s">
        <v>30</v>
      </c>
    </row>
    <row r="15" customFormat="false" ht="22.35" hidden="false" customHeight="false" outlineLevel="0" collapsed="false">
      <c r="A15" s="7" t="s">
        <v>31</v>
      </c>
      <c r="B15" s="16" t="n">
        <v>1</v>
      </c>
      <c r="C15" s="15" t="s">
        <v>32</v>
      </c>
      <c r="D15" s="10" t="s">
        <v>33</v>
      </c>
    </row>
    <row r="16" customFormat="false" ht="15" hidden="false" customHeight="false" outlineLevel="0" collapsed="false">
      <c r="A16" s="7" t="s">
        <v>34</v>
      </c>
      <c r="B16" s="17" t="n">
        <v>46296</v>
      </c>
      <c r="C16" s="15" t="s">
        <v>35</v>
      </c>
      <c r="D16" s="10"/>
    </row>
    <row r="17" customFormat="false" ht="15" hidden="false" customHeight="false" outlineLevel="0" collapsed="false">
      <c r="A17" s="5" t="s">
        <v>36</v>
      </c>
      <c r="B17" s="6"/>
      <c r="C17" s="6"/>
      <c r="D17" s="6"/>
    </row>
    <row r="18" customFormat="false" ht="15" hidden="false" customHeight="false" outlineLevel="0" collapsed="false">
      <c r="A18" s="7" t="s">
        <v>37</v>
      </c>
      <c r="B18" s="18" t="n">
        <v>495</v>
      </c>
      <c r="C18" s="15" t="s">
        <v>38</v>
      </c>
      <c r="D18" s="10" t="s">
        <v>39</v>
      </c>
    </row>
    <row r="19" customFormat="false" ht="15" hidden="false" customHeight="false" outlineLevel="0" collapsed="false">
      <c r="A19" s="7" t="s">
        <v>40</v>
      </c>
      <c r="B19" s="18" t="n">
        <v>1490</v>
      </c>
      <c r="C19" s="15" t="s">
        <v>38</v>
      </c>
      <c r="D19" s="10"/>
    </row>
    <row r="20" customFormat="false" ht="15" hidden="false" customHeight="false" outlineLevel="0" collapsed="false">
      <c r="A20" s="7" t="s">
        <v>41</v>
      </c>
      <c r="B20" s="18" t="n">
        <v>2990</v>
      </c>
      <c r="C20" s="15" t="s">
        <v>38</v>
      </c>
      <c r="D20" s="10"/>
    </row>
    <row r="21" customFormat="false" ht="15" hidden="false" customHeight="false" outlineLevel="0" collapsed="false">
      <c r="A21" s="7" t="s">
        <v>42</v>
      </c>
      <c r="B21" s="16" t="n">
        <v>0.8136</v>
      </c>
      <c r="C21" s="15" t="s">
        <v>32</v>
      </c>
      <c r="D21" s="10" t="s">
        <v>43</v>
      </c>
    </row>
    <row r="22" customFormat="false" ht="15" hidden="false" customHeight="false" outlineLevel="0" collapsed="false">
      <c r="A22" s="5" t="s">
        <v>44</v>
      </c>
      <c r="B22" s="6"/>
      <c r="C22" s="6"/>
      <c r="D22" s="6"/>
    </row>
    <row r="23" customFormat="false" ht="22.35" hidden="false" customHeight="false" outlineLevel="0" collapsed="false">
      <c r="A23" s="7" t="s">
        <v>45</v>
      </c>
      <c r="B23" s="19" t="n">
        <v>0.0033</v>
      </c>
      <c r="C23" s="15" t="s">
        <v>46</v>
      </c>
      <c r="D23" s="10" t="s">
        <v>47</v>
      </c>
    </row>
    <row r="24" customFormat="false" ht="15" hidden="false" customHeight="false" outlineLevel="0" collapsed="false">
      <c r="A24" s="7" t="s">
        <v>48</v>
      </c>
      <c r="B24" s="20" t="n">
        <v>300</v>
      </c>
      <c r="C24" s="15" t="s">
        <v>49</v>
      </c>
      <c r="D24" s="10" t="s">
        <v>50</v>
      </c>
    </row>
    <row r="25" customFormat="false" ht="15" hidden="false" customHeight="false" outlineLevel="0" collapsed="false">
      <c r="A25" s="7" t="s">
        <v>51</v>
      </c>
      <c r="B25" s="21" t="n">
        <v>40</v>
      </c>
      <c r="C25" s="15" t="s">
        <v>52</v>
      </c>
      <c r="D25" s="10" t="s">
        <v>53</v>
      </c>
    </row>
    <row r="26" customFormat="false" ht="15" hidden="false" customHeight="false" outlineLevel="0" collapsed="false">
      <c r="A26" s="7" t="s">
        <v>54</v>
      </c>
      <c r="B26" s="21" t="n">
        <v>10</v>
      </c>
      <c r="C26" s="15" t="s">
        <v>52</v>
      </c>
      <c r="D26" s="10" t="s">
        <v>55</v>
      </c>
    </row>
    <row r="27" customFormat="false" ht="15" hidden="false" customHeight="false" outlineLevel="0" collapsed="false">
      <c r="A27" s="7" t="s">
        <v>56</v>
      </c>
      <c r="B27" s="21" t="n">
        <v>0</v>
      </c>
      <c r="C27" s="15" t="s">
        <v>52</v>
      </c>
      <c r="D27" s="10" t="s">
        <v>57</v>
      </c>
    </row>
    <row r="28" customFormat="false" ht="22.35" hidden="false" customHeight="false" outlineLevel="0" collapsed="false">
      <c r="A28" s="7" t="s">
        <v>58</v>
      </c>
      <c r="B28" s="16" t="n">
        <v>0.5</v>
      </c>
      <c r="C28" s="15" t="s">
        <v>32</v>
      </c>
      <c r="D28" s="10" t="s">
        <v>59</v>
      </c>
    </row>
    <row r="29" customFormat="false" ht="15" hidden="false" customHeight="false" outlineLevel="0" collapsed="false">
      <c r="A29" s="7" t="s">
        <v>60</v>
      </c>
      <c r="B29" s="21" t="n">
        <v>20</v>
      </c>
      <c r="C29" s="15" t="s">
        <v>46</v>
      </c>
      <c r="D29" s="10" t="s">
        <v>61</v>
      </c>
    </row>
    <row r="30" customFormat="false" ht="15" hidden="false" customHeight="false" outlineLevel="0" collapsed="false">
      <c r="A30" s="5" t="s">
        <v>62</v>
      </c>
      <c r="B30" s="6"/>
      <c r="C30" s="6"/>
      <c r="D30" s="6"/>
    </row>
    <row r="31" customFormat="false" ht="15" hidden="false" customHeight="false" outlineLevel="0" collapsed="false">
      <c r="A31" s="7" t="s">
        <v>63</v>
      </c>
      <c r="B31" s="22" t="n">
        <v>59.4618</v>
      </c>
      <c r="C31" s="15" t="s">
        <v>64</v>
      </c>
      <c r="D31" s="10" t="s">
        <v>65</v>
      </c>
    </row>
    <row r="32" customFormat="false" ht="15" hidden="false" customHeight="false" outlineLevel="0" collapsed="false">
      <c r="A32" s="7" t="s">
        <v>66</v>
      </c>
      <c r="B32" s="16" t="n">
        <v>0.08</v>
      </c>
      <c r="C32" s="15" t="s">
        <v>32</v>
      </c>
      <c r="D32" s="10" t="s">
        <v>67</v>
      </c>
    </row>
    <row r="33" customFormat="false" ht="15" hidden="false" customHeight="false" outlineLevel="0" collapsed="false">
      <c r="A33" s="7" t="s">
        <v>68</v>
      </c>
      <c r="B33" s="18" t="n">
        <v>2000</v>
      </c>
      <c r="C33" s="15" t="s">
        <v>38</v>
      </c>
      <c r="D33" s="10" t="s">
        <v>69</v>
      </c>
    </row>
    <row r="34" customFormat="false" ht="15" hidden="false" customHeight="false" outlineLevel="0" collapsed="false">
      <c r="A34" s="7" t="s">
        <v>70</v>
      </c>
      <c r="B34" s="18" t="n">
        <v>1500</v>
      </c>
      <c r="C34" s="15" t="s">
        <v>71</v>
      </c>
      <c r="D34" s="10" t="s">
        <v>72</v>
      </c>
    </row>
    <row r="35" customFormat="false" ht="15" hidden="false" customHeight="false" outlineLevel="0" collapsed="false">
      <c r="A35" s="7" t="s">
        <v>73</v>
      </c>
      <c r="B35" s="18" t="n">
        <v>0</v>
      </c>
      <c r="C35" s="15" t="s">
        <v>38</v>
      </c>
      <c r="D35" s="10" t="s">
        <v>74</v>
      </c>
    </row>
    <row r="36" customFormat="false" ht="15" hidden="false" customHeight="false" outlineLevel="0" collapsed="false">
      <c r="A36" s="23" t="s">
        <v>75</v>
      </c>
      <c r="B36" s="24" t="n">
        <f aca="false">TasaUSD*(1+Colchon)</f>
        <v>64.218744</v>
      </c>
      <c r="C36" s="25" t="s">
        <v>64</v>
      </c>
      <c r="D36" s="26"/>
    </row>
  </sheetData>
  <conditionalFormatting sqref="B1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8.55" hidden="false" customHeight="false" outlineLevel="0" collapsed="false">
      <c r="A1" s="1" t="s">
        <v>76</v>
      </c>
    </row>
    <row r="2" customFormat="false" ht="15" hidden="false" customHeight="false" outlineLevel="0" collapsed="false">
      <c r="A2" s="4" t="s">
        <v>77</v>
      </c>
    </row>
    <row r="4" customFormat="false" ht="30" hidden="false" customHeight="true" outlineLevel="0" collapsed="false">
      <c r="A4" s="27" t="s">
        <v>40</v>
      </c>
      <c r="B4" s="27" t="s">
        <v>78</v>
      </c>
      <c r="C4" s="27" t="s">
        <v>79</v>
      </c>
      <c r="D4" s="27" t="s">
        <v>80</v>
      </c>
      <c r="E4" s="27" t="s">
        <v>81</v>
      </c>
      <c r="F4" s="27" t="s">
        <v>82</v>
      </c>
      <c r="G4" s="27" t="s">
        <v>83</v>
      </c>
      <c r="H4" s="27" t="s">
        <v>84</v>
      </c>
    </row>
    <row r="5" customFormat="false" ht="15" hidden="false" customHeight="false" outlineLevel="0" collapsed="false">
      <c r="A5" s="28" t="s">
        <v>85</v>
      </c>
      <c r="B5" s="28" t="s">
        <v>37</v>
      </c>
      <c r="C5" s="14" t="n">
        <v>1</v>
      </c>
      <c r="D5" s="20" t="n">
        <v>150</v>
      </c>
      <c r="E5" s="29" t="n">
        <f aca="false">IF(B5="Esencial",PrecioEsencial,IF(B5="Salón",PrecioSalon,IF(B5="Lounge",PrecioLounge,0)))</f>
        <v>495</v>
      </c>
      <c r="F5" s="18" t="n">
        <f aca="false">E5*(1-DescuentoPiloto)</f>
        <v>0</v>
      </c>
      <c r="G5" s="30" t="n">
        <f aca="false">D5*CostoIAMensaje</f>
        <v>0.495</v>
      </c>
      <c r="H5" s="28" t="s">
        <v>86</v>
      </c>
    </row>
    <row r="6" customFormat="false" ht="15" hidden="false" customHeight="false" outlineLevel="0" collapsed="false">
      <c r="A6" s="28" t="s">
        <v>87</v>
      </c>
      <c r="B6" s="28" t="s">
        <v>40</v>
      </c>
      <c r="C6" s="14" t="n">
        <v>1</v>
      </c>
      <c r="D6" s="20" t="n">
        <v>400</v>
      </c>
      <c r="E6" s="29" t="n">
        <f aca="false">IF(B6="Esencial",PrecioEsencial,IF(B6="Salón",PrecioSalon,IF(B6="Lounge",PrecioLounge,0)))</f>
        <v>1490</v>
      </c>
      <c r="F6" s="18" t="n">
        <f aca="false">E6*(1-DescuentoPiloto)</f>
        <v>0</v>
      </c>
      <c r="G6" s="30" t="n">
        <f aca="false">D6*CostoIAMensaje</f>
        <v>1.32</v>
      </c>
      <c r="H6" s="28" t="s">
        <v>88</v>
      </c>
    </row>
    <row r="7" customFormat="false" ht="15" hidden="false" customHeight="false" outlineLevel="0" collapsed="false">
      <c r="A7" s="28" t="s">
        <v>89</v>
      </c>
      <c r="B7" s="28" t="s">
        <v>41</v>
      </c>
      <c r="C7" s="14" t="n">
        <v>1</v>
      </c>
      <c r="D7" s="20" t="n">
        <v>700</v>
      </c>
      <c r="E7" s="29" t="n">
        <f aca="false">IF(B7="Esencial",PrecioEsencial,IF(B7="Salón",PrecioSalon,IF(B7="Lounge",PrecioLounge,0)))</f>
        <v>2990</v>
      </c>
      <c r="F7" s="18" t="n">
        <f aca="false">E7*(1-DescuentoPiloto)</f>
        <v>0</v>
      </c>
      <c r="G7" s="30" t="n">
        <f aca="false">D7*CostoIAMensaje</f>
        <v>2.31</v>
      </c>
      <c r="H7" s="28" t="s">
        <v>90</v>
      </c>
    </row>
    <row r="8" customFormat="false" ht="15" hidden="false" customHeight="false" outlineLevel="0" collapsed="false">
      <c r="A8" s="28" t="s">
        <v>91</v>
      </c>
      <c r="B8" s="28" t="s">
        <v>40</v>
      </c>
      <c r="C8" s="14" t="n">
        <v>2</v>
      </c>
      <c r="D8" s="20" t="n">
        <v>300</v>
      </c>
      <c r="E8" s="29" t="n">
        <f aca="false">IF(B8="Esencial",PrecioEsencial,IF(B8="Salón",PrecioSalon,IF(B8="Lounge",PrecioLounge,0)))</f>
        <v>1490</v>
      </c>
      <c r="F8" s="18" t="n">
        <f aca="false">E8*(1-DescuentoPiloto)</f>
        <v>0</v>
      </c>
      <c r="G8" s="30" t="n">
        <f aca="false">D8*CostoIAMensaje</f>
        <v>0.99</v>
      </c>
      <c r="H8" s="28" t="s">
        <v>92</v>
      </c>
    </row>
    <row r="9" customFormat="false" ht="15" hidden="false" customHeight="false" outlineLevel="0" collapsed="false">
      <c r="A9" s="28"/>
      <c r="B9" s="28"/>
      <c r="C9" s="14"/>
      <c r="D9" s="20"/>
      <c r="E9" s="29" t="n">
        <f aca="false">IF(B9="Esencial",PrecioEsencial,IF(B9="Salón",PrecioSalon,IF(B9="Lounge",PrecioLounge,0)))</f>
        <v>0</v>
      </c>
      <c r="F9" s="18" t="n">
        <f aca="false">E9*(1-DescuentoPiloto)</f>
        <v>0</v>
      </c>
      <c r="G9" s="30" t="n">
        <f aca="false">D9*CostoIAMensaje</f>
        <v>0</v>
      </c>
      <c r="H9" s="28"/>
    </row>
    <row r="10" customFormat="false" ht="15" hidden="false" customHeight="false" outlineLevel="0" collapsed="false">
      <c r="A10" s="28"/>
      <c r="B10" s="28"/>
      <c r="C10" s="14"/>
      <c r="D10" s="20"/>
      <c r="E10" s="29" t="n">
        <f aca="false">IF(B10="Esencial",PrecioEsencial,IF(B10="Salón",PrecioSalon,IF(B10="Lounge",PrecioLounge,0)))</f>
        <v>0</v>
      </c>
      <c r="F10" s="18" t="n">
        <f aca="false">E10*(1-DescuentoPiloto)</f>
        <v>0</v>
      </c>
      <c r="G10" s="30" t="n">
        <f aca="false">D10*CostoIAMensaje</f>
        <v>0</v>
      </c>
      <c r="H10" s="28"/>
    </row>
    <row r="11" customFormat="false" ht="15" hidden="false" customHeight="false" outlineLevel="0" collapsed="false">
      <c r="A11" s="28"/>
      <c r="B11" s="28"/>
      <c r="C11" s="14"/>
      <c r="D11" s="20"/>
      <c r="E11" s="29" t="n">
        <f aca="false">IF(B11="Esencial",PrecioEsencial,IF(B11="Salón",PrecioSalon,IF(B11="Lounge",PrecioLounge,0)))</f>
        <v>0</v>
      </c>
      <c r="F11" s="18" t="n">
        <f aca="false">E11*(1-DescuentoPiloto)</f>
        <v>0</v>
      </c>
      <c r="G11" s="30" t="n">
        <f aca="false">D11*CostoIAMensaje</f>
        <v>0</v>
      </c>
      <c r="H11" s="28"/>
    </row>
    <row r="12" customFormat="false" ht="15" hidden="false" customHeight="false" outlineLevel="0" collapsed="false">
      <c r="A12" s="28"/>
      <c r="B12" s="28"/>
      <c r="C12" s="14"/>
      <c r="D12" s="20"/>
      <c r="E12" s="29" t="n">
        <f aca="false">IF(B12="Esencial",PrecioEsencial,IF(B12="Salón",PrecioSalon,IF(B12="Lounge",PrecioLounge,0)))</f>
        <v>0</v>
      </c>
      <c r="F12" s="18" t="n">
        <f aca="false">E12*(1-DescuentoPiloto)</f>
        <v>0</v>
      </c>
      <c r="G12" s="30" t="n">
        <f aca="false">D12*CostoIAMensaje</f>
        <v>0</v>
      </c>
      <c r="H12" s="28"/>
    </row>
    <row r="13" customFormat="false" ht="15" hidden="false" customHeight="false" outlineLevel="0" collapsed="false">
      <c r="A13" s="28"/>
      <c r="B13" s="28"/>
      <c r="C13" s="14"/>
      <c r="D13" s="20"/>
      <c r="E13" s="29" t="n">
        <f aca="false">IF(B13="Esencial",PrecioEsencial,IF(B13="Salón",PrecioSalon,IF(B13="Lounge",PrecioLounge,0)))</f>
        <v>0</v>
      </c>
      <c r="F13" s="18" t="n">
        <f aca="false">E13*(1-DescuentoPiloto)</f>
        <v>0</v>
      </c>
      <c r="G13" s="30" t="n">
        <f aca="false">D13*CostoIAMensaje</f>
        <v>0</v>
      </c>
      <c r="H13" s="28"/>
    </row>
    <row r="14" customFormat="false" ht="15" hidden="false" customHeight="false" outlineLevel="0" collapsed="false">
      <c r="A14" s="28"/>
      <c r="B14" s="28"/>
      <c r="C14" s="14"/>
      <c r="D14" s="20"/>
      <c r="E14" s="29" t="n">
        <f aca="false">IF(B14="Esencial",PrecioEsencial,IF(B14="Salón",PrecioSalon,IF(B14="Lounge",PrecioLounge,0)))</f>
        <v>0</v>
      </c>
      <c r="F14" s="18" t="n">
        <f aca="false">E14*(1-DescuentoPiloto)</f>
        <v>0</v>
      </c>
      <c r="G14" s="30" t="n">
        <f aca="false">D14*CostoIAMensaje</f>
        <v>0</v>
      </c>
      <c r="H14" s="28"/>
    </row>
    <row r="15" customFormat="false" ht="15" hidden="false" customHeight="false" outlineLevel="0" collapsed="false">
      <c r="A15" s="28"/>
      <c r="B15" s="28"/>
      <c r="C15" s="14"/>
      <c r="D15" s="20"/>
      <c r="E15" s="29" t="n">
        <f aca="false">IF(B15="Esencial",PrecioEsencial,IF(B15="Salón",PrecioSalon,IF(B15="Lounge",PrecioLounge,0)))</f>
        <v>0</v>
      </c>
      <c r="F15" s="18" t="n">
        <f aca="false">E15*(1-DescuentoPiloto)</f>
        <v>0</v>
      </c>
      <c r="G15" s="30" t="n">
        <f aca="false">D15*CostoIAMensaje</f>
        <v>0</v>
      </c>
      <c r="H15" s="28"/>
    </row>
    <row r="16" customFormat="false" ht="15" hidden="false" customHeight="false" outlineLevel="0" collapsed="false">
      <c r="A16" s="28"/>
      <c r="B16" s="28"/>
      <c r="C16" s="14"/>
      <c r="D16" s="20"/>
      <c r="E16" s="29" t="n">
        <f aca="false">IF(B16="Esencial",PrecioEsencial,IF(B16="Salón",PrecioSalon,IF(B16="Lounge",PrecioLounge,0)))</f>
        <v>0</v>
      </c>
      <c r="F16" s="18" t="n">
        <f aca="false">E16*(1-DescuentoPiloto)</f>
        <v>0</v>
      </c>
      <c r="G16" s="30" t="n">
        <f aca="false">D16*CostoIAMensaje</f>
        <v>0</v>
      </c>
      <c r="H16" s="28"/>
    </row>
    <row r="17" customFormat="false" ht="15" hidden="false" customHeight="false" outlineLevel="0" collapsed="false">
      <c r="A17" s="31" t="s">
        <v>93</v>
      </c>
      <c r="B17" s="31"/>
      <c r="C17" s="31"/>
      <c r="D17" s="32" t="n">
        <f aca="false">SUM(D5:D16)</f>
        <v>1550</v>
      </c>
      <c r="E17" s="33" t="n">
        <f aca="false">SUM(E5:E16)</f>
        <v>6465</v>
      </c>
      <c r="F17" s="33" t="n">
        <f aca="false">SUM(F5:F16)</f>
        <v>0</v>
      </c>
      <c r="G17" s="34" t="n">
        <f aca="false">SUM(G5:G16)</f>
        <v>5.115</v>
      </c>
      <c r="H17" s="31"/>
    </row>
    <row r="19" customFormat="false" ht="15" hidden="false" customHeight="false" outlineLevel="0" collapsed="false">
      <c r="A19" s="4" t="s">
        <v>94</v>
      </c>
    </row>
  </sheetData>
  <dataValidations count="1">
    <dataValidation allowBlank="true" errorStyle="stop" operator="between" showDropDown="false" showErrorMessage="false" showInputMessage="false" sqref="B5:B16" type="list">
      <formula1>"Esencial,Salón,Lounge"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8" min="3" style="0" width="13"/>
  </cols>
  <sheetData>
    <row r="1" customFormat="false" ht="18.55" hidden="false" customHeight="false" outlineLevel="0" collapsed="false">
      <c r="A1" s="1" t="s">
        <v>95</v>
      </c>
    </row>
    <row r="2" customFormat="false" ht="15" hidden="false" customHeight="false" outlineLevel="0" collapsed="false">
      <c r="A2" s="4" t="s">
        <v>96</v>
      </c>
    </row>
    <row r="4" customFormat="false" ht="15" hidden="false" customHeight="false" outlineLevel="0" collapsed="false">
      <c r="A4" s="5" t="s">
        <v>97</v>
      </c>
      <c r="B4" s="5" t="s">
        <v>93</v>
      </c>
      <c r="C4" s="35" t="n">
        <f aca="false">EDATE(InicioPiloto,0)</f>
        <v>46296</v>
      </c>
      <c r="D4" s="35" t="n">
        <f aca="false">EDATE(InicioPiloto,1)</f>
        <v>46327</v>
      </c>
      <c r="E4" s="35" t="n">
        <f aca="false">EDATE(InicioPiloto,2)</f>
        <v>46357</v>
      </c>
      <c r="F4" s="35" t="n">
        <f aca="false">EDATE(InicioPiloto,3)</f>
        <v>46388</v>
      </c>
      <c r="G4" s="35" t="n">
        <f aca="false">EDATE(InicioPiloto,4)</f>
        <v>46419</v>
      </c>
      <c r="H4" s="35" t="n">
        <f aca="false">EDATE(InicioPiloto,5)</f>
        <v>46447</v>
      </c>
    </row>
    <row r="5" customFormat="false" ht="15" hidden="false" customHeight="false" outlineLevel="0" collapsed="false">
      <c r="A5" s="4" t="s">
        <v>98</v>
      </c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</row>
    <row r="6" customFormat="false" ht="15" hidden="false" customHeight="false" outlineLevel="0" collapsed="false">
      <c r="A6" s="4" t="s">
        <v>99</v>
      </c>
      <c r="C6" s="4" t="str">
        <f aca="false">IF(C5&lt;=MesesPiloto,"Piloto","Normal")</f>
        <v>Piloto</v>
      </c>
      <c r="D6" s="4" t="str">
        <f aca="false">IF(D5&lt;=MesesPiloto,"Piloto","Normal")</f>
        <v>Piloto</v>
      </c>
      <c r="E6" s="4" t="str">
        <f aca="false">IF(E5&lt;=MesesPiloto,"Piloto","Normal")</f>
        <v>Piloto</v>
      </c>
      <c r="F6" s="4" t="str">
        <f aca="false">IF(F5&lt;=MesesPiloto,"Piloto","Normal")</f>
        <v>Normal</v>
      </c>
      <c r="G6" s="4" t="str">
        <f aca="false">IF(G5&lt;=MesesPiloto,"Piloto","Normal")</f>
        <v>Normal</v>
      </c>
      <c r="H6" s="4" t="str">
        <f aca="false">IF(H5&lt;=MesesPiloto,"Piloto","Normal")</f>
        <v>Normal</v>
      </c>
    </row>
    <row r="9" customFormat="false" ht="15" hidden="false" customHeight="false" outlineLevel="0" collapsed="false">
      <c r="A9" s="5" t="s">
        <v>100</v>
      </c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7" t="s">
        <v>13</v>
      </c>
      <c r="B10" s="36" t="n">
        <f aca="false">H10</f>
        <v>4</v>
      </c>
      <c r="C10" s="37" t="n">
        <f aca="false">COUNTIFS(Salones!$C$5:$C$16,"&lt;="&amp;C$5,Salones!$A$5:$A$16,"&lt;&gt;")</f>
        <v>3</v>
      </c>
      <c r="D10" s="37" t="n">
        <f aca="false">COUNTIFS(Salones!$C$5:$C$16,"&lt;="&amp;D$5,Salones!$A$5:$A$16,"&lt;&gt;")</f>
        <v>4</v>
      </c>
      <c r="E10" s="37" t="n">
        <f aca="false">COUNTIFS(Salones!$C$5:$C$16,"&lt;="&amp;E$5,Salones!$A$5:$A$16,"&lt;&gt;")</f>
        <v>4</v>
      </c>
      <c r="F10" s="37" t="n">
        <f aca="false">COUNTIFS(Salones!$C$5:$C$16,"&lt;="&amp;F$5,Salones!$A$5:$A$16,"&lt;&gt;")</f>
        <v>4</v>
      </c>
      <c r="G10" s="37" t="n">
        <f aca="false">COUNTIFS(Salones!$C$5:$C$16,"&lt;="&amp;G$5,Salones!$A$5:$A$16,"&lt;&gt;")</f>
        <v>4</v>
      </c>
      <c r="H10" s="37" t="n">
        <f aca="false">COUNTIFS(Salones!$C$5:$C$16,"&lt;="&amp;H$5,Salones!$A$5:$A$16,"&lt;&gt;")</f>
        <v>4</v>
      </c>
    </row>
    <row r="11" customFormat="false" ht="15" hidden="false" customHeight="false" outlineLevel="0" collapsed="false">
      <c r="A11" s="7" t="s">
        <v>101</v>
      </c>
      <c r="B11" s="36" t="n">
        <f aca="false">SUM(C11:H11)</f>
        <v>9000</v>
      </c>
      <c r="C11" s="37" t="n">
        <f aca="false">SUMIFS(Salones!$D$5:$D$16,Salones!$C$5:$C$16,"&lt;="&amp;C$5)</f>
        <v>1250</v>
      </c>
      <c r="D11" s="37" t="n">
        <f aca="false">SUMIFS(Salones!$D$5:$D$16,Salones!$C$5:$C$16,"&lt;="&amp;D$5)</f>
        <v>1550</v>
      </c>
      <c r="E11" s="37" t="n">
        <f aca="false">SUMIFS(Salones!$D$5:$D$16,Salones!$C$5:$C$16,"&lt;="&amp;E$5)</f>
        <v>1550</v>
      </c>
      <c r="F11" s="37" t="n">
        <f aca="false">SUMIFS(Salones!$D$5:$D$16,Salones!$C$5:$C$16,"&lt;="&amp;F$5)</f>
        <v>1550</v>
      </c>
      <c r="G11" s="37" t="n">
        <f aca="false">SUMIFS(Salones!$D$5:$D$16,Salones!$C$5:$C$16,"&lt;="&amp;G$5)</f>
        <v>1550</v>
      </c>
      <c r="H11" s="37" t="n">
        <f aca="false">SUMIFS(Salones!$D$5:$D$16,Salones!$C$5:$C$16,"&lt;="&amp;H$5)</f>
        <v>1550</v>
      </c>
    </row>
    <row r="13" customFormat="false" ht="15" hidden="false" customHeight="false" outlineLevel="0" collapsed="false">
      <c r="A13" s="5" t="s">
        <v>102</v>
      </c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7" t="s">
        <v>103</v>
      </c>
      <c r="B14" s="38" t="n">
        <f aca="false">SUM(C14:H14)</f>
        <v>19395</v>
      </c>
      <c r="C14" s="39" t="n">
        <f aca="false">IF(C$5&lt;=MesesPiloto,SUMIFS(Salones!$F$5:$F$16,Salones!$C$5:$C$16,"&lt;="&amp;C$5),SUMIFS(Salones!$E$5:$E$16,Salones!$C$5:$C$16,"&lt;="&amp;C$5))</f>
        <v>0</v>
      </c>
      <c r="D14" s="39" t="n">
        <f aca="false">IF(D$5&lt;=MesesPiloto,SUMIFS(Salones!$F$5:$F$16,Salones!$C$5:$C$16,"&lt;="&amp;D$5),SUMIFS(Salones!$E$5:$E$16,Salones!$C$5:$C$16,"&lt;="&amp;D$5))</f>
        <v>0</v>
      </c>
      <c r="E14" s="39" t="n">
        <f aca="false">IF(E$5&lt;=MesesPiloto,SUMIFS(Salones!$F$5:$F$16,Salones!$C$5:$C$16,"&lt;="&amp;E$5),SUMIFS(Salones!$E$5:$E$16,Salones!$C$5:$C$16,"&lt;="&amp;E$5))</f>
        <v>0</v>
      </c>
      <c r="F14" s="39" t="n">
        <f aca="false">IF(F$5&lt;=MesesPiloto,SUMIFS(Salones!$F$5:$F$16,Salones!$C$5:$C$16,"&lt;="&amp;F$5),SUMIFS(Salones!$E$5:$E$16,Salones!$C$5:$C$16,"&lt;="&amp;F$5))</f>
        <v>6465</v>
      </c>
      <c r="G14" s="39" t="n">
        <f aca="false">IF(G$5&lt;=MesesPiloto,SUMIFS(Salones!$F$5:$F$16,Salones!$C$5:$C$16,"&lt;="&amp;G$5),SUMIFS(Salones!$E$5:$E$16,Salones!$C$5:$C$16,"&lt;="&amp;G$5))</f>
        <v>6465</v>
      </c>
      <c r="H14" s="39" t="n">
        <f aca="false">IF(H$5&lt;=MesesPiloto,SUMIFS(Salones!$F$5:$F$16,Salones!$C$5:$C$16,"&lt;="&amp;H$5),SUMIFS(Salones!$E$5:$E$16,Salones!$C$5:$C$16,"&lt;="&amp;H$5))</f>
        <v>6465</v>
      </c>
    </row>
    <row r="15" customFormat="false" ht="15" hidden="false" customHeight="false" outlineLevel="0" collapsed="false">
      <c r="A15" s="40" t="s">
        <v>104</v>
      </c>
      <c r="B15" s="38" t="n">
        <f aca="false">SUM(C15:H15)</f>
        <v>15779.772</v>
      </c>
      <c r="C15" s="41" t="n">
        <f aca="false">C14*FactorNeto</f>
        <v>0</v>
      </c>
      <c r="D15" s="41" t="n">
        <f aca="false">D14*FactorNeto</f>
        <v>0</v>
      </c>
      <c r="E15" s="41" t="n">
        <f aca="false">E14*FactorNeto</f>
        <v>0</v>
      </c>
      <c r="F15" s="41" t="n">
        <f aca="false">F14*FactorNeto</f>
        <v>5259.924</v>
      </c>
      <c r="G15" s="41" t="n">
        <f aca="false">G14*FactorNeto</f>
        <v>5259.924</v>
      </c>
      <c r="H15" s="41" t="n">
        <f aca="false">H14*FactorNeto</f>
        <v>5259.924</v>
      </c>
    </row>
    <row r="17" customFormat="false" ht="15" hidden="false" customHeight="false" outlineLevel="0" collapsed="false">
      <c r="A17" s="5" t="s">
        <v>105</v>
      </c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7" t="s">
        <v>106</v>
      </c>
      <c r="B18" s="42" t="n">
        <f aca="false">SUM(C18:H18)</f>
        <v>35.64</v>
      </c>
      <c r="C18" s="43" t="n">
        <f aca="false">(C11+MensajesPruebas)*CostoIAMensaje</f>
        <v>5.115</v>
      </c>
      <c r="D18" s="43" t="n">
        <f aca="false">(D11+MensajesPruebas)*CostoIAMensaje</f>
        <v>6.105</v>
      </c>
      <c r="E18" s="43" t="n">
        <f aca="false">(E11+MensajesPruebas)*CostoIAMensaje</f>
        <v>6.105</v>
      </c>
      <c r="F18" s="43" t="n">
        <f aca="false">(F11+MensajesPruebas)*CostoIAMensaje</f>
        <v>6.105</v>
      </c>
      <c r="G18" s="43" t="n">
        <f aca="false">(G11+MensajesPruebas)*CostoIAMensaje</f>
        <v>6.105</v>
      </c>
      <c r="H18" s="43" t="n">
        <f aca="false">(H11+MensajesPruebas)*CostoIAMensaje</f>
        <v>6.105</v>
      </c>
    </row>
    <row r="19" customFormat="false" ht="15" hidden="false" customHeight="false" outlineLevel="0" collapsed="false">
      <c r="A19" s="7" t="s">
        <v>107</v>
      </c>
      <c r="B19" s="42" t="n">
        <f aca="false">SUM(C19:H19)</f>
        <v>240</v>
      </c>
      <c r="C19" s="43" t="n">
        <f aca="false">Servidores</f>
        <v>40</v>
      </c>
      <c r="D19" s="43" t="n">
        <f aca="false">Servidores</f>
        <v>40</v>
      </c>
      <c r="E19" s="43" t="n">
        <f aca="false">Servidores</f>
        <v>40</v>
      </c>
      <c r="F19" s="43" t="n">
        <f aca="false">Servidores</f>
        <v>40</v>
      </c>
      <c r="G19" s="43" t="n">
        <f aca="false">Servidores</f>
        <v>40</v>
      </c>
      <c r="H19" s="43" t="n">
        <f aca="false">Servidores</f>
        <v>40</v>
      </c>
    </row>
    <row r="20" customFormat="false" ht="15" hidden="false" customHeight="false" outlineLevel="0" collapsed="false">
      <c r="A20" s="7" t="s">
        <v>54</v>
      </c>
      <c r="B20" s="42" t="n">
        <f aca="false">SUM(C20:H20)</f>
        <v>60</v>
      </c>
      <c r="C20" s="43" t="n">
        <f aca="false">Dominio</f>
        <v>10</v>
      </c>
      <c r="D20" s="43" t="n">
        <f aca="false">Dominio</f>
        <v>10</v>
      </c>
      <c r="E20" s="43" t="n">
        <f aca="false">Dominio</f>
        <v>10</v>
      </c>
      <c r="F20" s="43" t="n">
        <f aca="false">Dominio</f>
        <v>10</v>
      </c>
      <c r="G20" s="43" t="n">
        <f aca="false">Dominio</f>
        <v>10</v>
      </c>
      <c r="H20" s="43" t="n">
        <f aca="false">Dominio</f>
        <v>10</v>
      </c>
    </row>
    <row r="21" customFormat="false" ht="15" hidden="false" customHeight="false" outlineLevel="0" collapsed="false">
      <c r="A21" s="7" t="s">
        <v>108</v>
      </c>
      <c r="B21" s="42" t="n">
        <f aca="false">SUM(C21:H21)</f>
        <v>0</v>
      </c>
      <c r="C21" s="43" t="n">
        <f aca="false">VozElevenLabs</f>
        <v>0</v>
      </c>
      <c r="D21" s="43" t="n">
        <f aca="false">VozElevenLabs</f>
        <v>0</v>
      </c>
      <c r="E21" s="43" t="n">
        <f aca="false">VozElevenLabs</f>
        <v>0</v>
      </c>
      <c r="F21" s="43" t="n">
        <f aca="false">VozElevenLabs</f>
        <v>0</v>
      </c>
      <c r="G21" s="43" t="n">
        <f aca="false">VozElevenLabs</f>
        <v>0</v>
      </c>
      <c r="H21" s="43" t="n">
        <f aca="false">VozElevenLabs</f>
        <v>0</v>
      </c>
    </row>
    <row r="22" customFormat="false" ht="15" hidden="false" customHeight="false" outlineLevel="0" collapsed="false">
      <c r="A22" s="40" t="s">
        <v>109</v>
      </c>
      <c r="B22" s="42" t="n">
        <f aca="false">SUM(C22:H22)</f>
        <v>335.64</v>
      </c>
      <c r="C22" s="44" t="n">
        <f aca="false">SUM(C18:C21)</f>
        <v>55.115</v>
      </c>
      <c r="D22" s="44" t="n">
        <f aca="false">SUM(D18:D21)</f>
        <v>56.105</v>
      </c>
      <c r="E22" s="44" t="n">
        <f aca="false">SUM(E18:E21)</f>
        <v>56.105</v>
      </c>
      <c r="F22" s="44" t="n">
        <f aca="false">SUM(F18:F21)</f>
        <v>56.105</v>
      </c>
      <c r="G22" s="44" t="n">
        <f aca="false">SUM(G18:G21)</f>
        <v>56.105</v>
      </c>
      <c r="H22" s="44" t="n">
        <f aca="false">SUM(H18:H21)</f>
        <v>56.105</v>
      </c>
    </row>
    <row r="24" customFormat="false" ht="15" hidden="false" customHeight="false" outlineLevel="0" collapsed="false">
      <c r="A24" s="5" t="s">
        <v>110</v>
      </c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7" t="s">
        <v>111</v>
      </c>
      <c r="B25" s="38" t="n">
        <f aca="false">SUM(C25:H25)</f>
        <v>21554.37923616</v>
      </c>
      <c r="C25" s="39" t="n">
        <f aca="false">C22*FactorCambio</f>
        <v>3539.41607556</v>
      </c>
      <c r="D25" s="39" t="n">
        <f aca="false">D22*FactorCambio</f>
        <v>3602.99263212</v>
      </c>
      <c r="E25" s="39" t="n">
        <f aca="false">E22*FactorCambio</f>
        <v>3602.99263212</v>
      </c>
      <c r="F25" s="39" t="n">
        <f aca="false">F22*FactorCambio</f>
        <v>3602.99263212</v>
      </c>
      <c r="G25" s="39" t="n">
        <f aca="false">G22*FactorCambio</f>
        <v>3602.99263212</v>
      </c>
      <c r="H25" s="39" t="n">
        <f aca="false">H22*FactorCambio</f>
        <v>3602.99263212</v>
      </c>
    </row>
    <row r="26" customFormat="false" ht="15" hidden="false" customHeight="false" outlineLevel="0" collapsed="false">
      <c r="A26" s="7" t="s">
        <v>112</v>
      </c>
      <c r="B26" s="38" t="n">
        <f aca="false">SUM(C26:H26)</f>
        <v>12000</v>
      </c>
      <c r="C26" s="39" t="n">
        <f aca="false">Visitas</f>
        <v>2000</v>
      </c>
      <c r="D26" s="39" t="n">
        <f aca="false">Visitas</f>
        <v>2000</v>
      </c>
      <c r="E26" s="39" t="n">
        <f aca="false">Visitas</f>
        <v>2000</v>
      </c>
      <c r="F26" s="39" t="n">
        <f aca="false">Visitas</f>
        <v>2000</v>
      </c>
      <c r="G26" s="39" t="n">
        <f aca="false">Visitas</f>
        <v>2000</v>
      </c>
      <c r="H26" s="39" t="n">
        <f aca="false">Visitas</f>
        <v>2000</v>
      </c>
    </row>
    <row r="27" customFormat="false" ht="15" hidden="false" customHeight="false" outlineLevel="0" collapsed="false">
      <c r="A27" s="7" t="s">
        <v>113</v>
      </c>
      <c r="B27" s="38" t="n">
        <f aca="false">SUM(C27:H27)</f>
        <v>1500</v>
      </c>
      <c r="C27" s="39" t="n">
        <f aca="false">IF(C$5=1,Material,0)</f>
        <v>1500</v>
      </c>
      <c r="D27" s="39" t="n">
        <f aca="false">IF(D$5=1,Material,0)</f>
        <v>0</v>
      </c>
      <c r="E27" s="39" t="n">
        <f aca="false">IF(E$5=1,Material,0)</f>
        <v>0</v>
      </c>
      <c r="F27" s="39" t="n">
        <f aca="false">IF(F$5=1,Material,0)</f>
        <v>0</v>
      </c>
      <c r="G27" s="39" t="n">
        <f aca="false">IF(G$5=1,Material,0)</f>
        <v>0</v>
      </c>
      <c r="H27" s="39" t="n">
        <f aca="false">IF(H$5=1,Material,0)</f>
        <v>0</v>
      </c>
    </row>
    <row r="28" customFormat="false" ht="15" hidden="false" customHeight="false" outlineLevel="0" collapsed="false">
      <c r="A28" s="7" t="s">
        <v>114</v>
      </c>
      <c r="B28" s="38" t="n">
        <f aca="false">SUM(C28:H28)</f>
        <v>0</v>
      </c>
      <c r="C28" s="39" t="n">
        <f aca="false">Otros</f>
        <v>0</v>
      </c>
      <c r="D28" s="39" t="n">
        <f aca="false">Otros</f>
        <v>0</v>
      </c>
      <c r="E28" s="39" t="n">
        <f aca="false">Otros</f>
        <v>0</v>
      </c>
      <c r="F28" s="39" t="n">
        <f aca="false">Otros</f>
        <v>0</v>
      </c>
      <c r="G28" s="39" t="n">
        <f aca="false">Otros</f>
        <v>0</v>
      </c>
      <c r="H28" s="39" t="n">
        <f aca="false">Otros</f>
        <v>0</v>
      </c>
    </row>
    <row r="29" customFormat="false" ht="15" hidden="false" customHeight="false" outlineLevel="0" collapsed="false">
      <c r="A29" s="40" t="s">
        <v>115</v>
      </c>
      <c r="B29" s="38" t="n">
        <f aca="false">SUM(C29:H29)</f>
        <v>35054.37923616</v>
      </c>
      <c r="C29" s="41" t="n">
        <f aca="false">SUM(C25:C28)</f>
        <v>7039.41607556</v>
      </c>
      <c r="D29" s="41" t="n">
        <f aca="false">SUM(D25:D28)</f>
        <v>5602.99263212</v>
      </c>
      <c r="E29" s="41" t="n">
        <f aca="false">SUM(E25:E28)</f>
        <v>5602.99263212</v>
      </c>
      <c r="F29" s="41" t="n">
        <f aca="false">SUM(F25:F28)</f>
        <v>5602.99263212</v>
      </c>
      <c r="G29" s="41" t="n">
        <f aca="false">SUM(G25:G28)</f>
        <v>5602.99263212</v>
      </c>
      <c r="H29" s="41" t="n">
        <f aca="false">SUM(H25:H28)</f>
        <v>5602.99263212</v>
      </c>
    </row>
    <row r="31" customFormat="false" ht="15" hidden="false" customHeight="false" outlineLevel="0" collapsed="false">
      <c r="A31" s="5" t="s">
        <v>116</v>
      </c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40" t="s">
        <v>117</v>
      </c>
      <c r="B32" s="38" t="n">
        <f aca="false">SUM(C32:H32)</f>
        <v>-19274.60723616</v>
      </c>
      <c r="C32" s="38" t="n">
        <f aca="false">C15-C29</f>
        <v>-7039.41607556</v>
      </c>
      <c r="D32" s="38" t="n">
        <f aca="false">D15-D29</f>
        <v>-5602.99263212</v>
      </c>
      <c r="E32" s="38" t="n">
        <f aca="false">E15-E29</f>
        <v>-5602.99263212</v>
      </c>
      <c r="F32" s="38" t="n">
        <f aca="false">F15-F29</f>
        <v>-343.06863212</v>
      </c>
      <c r="G32" s="38" t="n">
        <f aca="false">G15-G29</f>
        <v>-343.06863212</v>
      </c>
      <c r="H32" s="38" t="n">
        <f aca="false">H15-H29</f>
        <v>-343.06863212</v>
      </c>
    </row>
    <row r="33" customFormat="false" ht="15" hidden="false" customHeight="false" outlineLevel="0" collapsed="false">
      <c r="A33" s="40" t="s">
        <v>118</v>
      </c>
      <c r="B33" s="38" t="n">
        <f aca="false">H33</f>
        <v>-19274.60723616</v>
      </c>
      <c r="C33" s="41" t="n">
        <f aca="false">C32</f>
        <v>-7039.41607556</v>
      </c>
      <c r="D33" s="41" t="n">
        <f aca="false">C33+D32</f>
        <v>-12642.40870768</v>
      </c>
      <c r="E33" s="41" t="n">
        <f aca="false">D33+E32</f>
        <v>-18245.4013398</v>
      </c>
      <c r="F33" s="41" t="n">
        <f aca="false">E33+F32</f>
        <v>-18588.46997192</v>
      </c>
      <c r="G33" s="41" t="n">
        <f aca="false">F33+G32</f>
        <v>-18931.53860404</v>
      </c>
      <c r="H33" s="41" t="n">
        <f aca="false">G33+H32</f>
        <v>-19274.60723616</v>
      </c>
    </row>
    <row r="34" customFormat="false" ht="15" hidden="false" customHeight="false" outlineLevel="0" collapsed="false">
      <c r="A34" s="15" t="s">
        <v>119</v>
      </c>
      <c r="B34" s="45"/>
      <c r="C34" s="46" t="n">
        <f aca="false">IF(C32&gt;=0,1,0)</f>
        <v>0</v>
      </c>
      <c r="D34" s="46" t="n">
        <f aca="false">IF(D32&gt;=0,1,0)</f>
        <v>0</v>
      </c>
      <c r="E34" s="46" t="n">
        <f aca="false">IF(E32&gt;=0,1,0)</f>
        <v>0</v>
      </c>
      <c r="F34" s="46" t="n">
        <f aca="false">IF(F32&gt;=0,1,0)</f>
        <v>0</v>
      </c>
      <c r="G34" s="46" t="n">
        <f aca="false">IF(G32&gt;=0,1,0)</f>
        <v>0</v>
      </c>
      <c r="H34" s="46" t="n">
        <f aca="false">IF(H32&gt;=0,1,0)</f>
        <v>0</v>
      </c>
    </row>
  </sheetData>
  <conditionalFormatting sqref="B32:H32">
    <cfRule type="cellIs" priority="2" operator="lessThan" aboveAverage="0" equalAverage="0" bottom="0" percent="0" rank="0" text="" dxfId="1">
      <formula>0</formula>
    </cfRule>
  </conditionalFormatting>
  <conditionalFormatting sqref="B33:H33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8.5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4" t="s">
        <v>121</v>
      </c>
    </row>
    <row r="3" customFormat="false" ht="15" hidden="false" customHeight="false" outlineLevel="0" collapsed="false">
      <c r="A3" s="47" t="s">
        <v>122</v>
      </c>
      <c r="B3" s="48" t="n">
        <v>0.2</v>
      </c>
    </row>
    <row r="5" customFormat="false" ht="26.85" hidden="false" customHeight="false" outlineLevel="0" collapsed="false">
      <c r="A5" s="49" t="s">
        <v>123</v>
      </c>
      <c r="B5" s="49" t="s">
        <v>124</v>
      </c>
      <c r="C5" s="49" t="s">
        <v>125</v>
      </c>
      <c r="D5" s="49" t="s">
        <v>126</v>
      </c>
      <c r="E5" s="49" t="s">
        <v>127</v>
      </c>
      <c r="F5" s="49" t="s">
        <v>128</v>
      </c>
    </row>
    <row r="6" customFormat="false" ht="25.5" hidden="false" customHeight="true" outlineLevel="0" collapsed="false">
      <c r="A6" s="7" t="s">
        <v>129</v>
      </c>
      <c r="B6" s="37" t="n">
        <v>400</v>
      </c>
      <c r="C6" s="20"/>
      <c r="D6" s="10" t="s">
        <v>130</v>
      </c>
      <c r="E6" s="50" t="str">
        <f aca="false">IF(C6="","",IF(B6=0,C6-B6,(C6-B6)/B6))</f>
        <v/>
      </c>
      <c r="F6" s="9" t="str">
        <f aca="false">IF(C6="","Pendiente",IF(B6=0,IF(C6=0,"Se parece","Revísalo"),IF(ABS((C6-B6)/B6)&lt;=Tolerancia,"Se parece","Actualiza el libro de la empresa")))</f>
        <v>Pendiente</v>
      </c>
    </row>
    <row r="7" customFormat="false" ht="25.5" hidden="false" customHeight="true" outlineLevel="0" collapsed="false">
      <c r="A7" s="7" t="s">
        <v>131</v>
      </c>
      <c r="B7" s="51" t="n">
        <v>0.0033</v>
      </c>
      <c r="C7" s="19"/>
      <c r="D7" s="10" t="s">
        <v>132</v>
      </c>
      <c r="E7" s="50" t="str">
        <f aca="false">IF(C7="","",IF(B7=0,C7-B7,(C7-B7)/B7))</f>
        <v/>
      </c>
      <c r="F7" s="9" t="str">
        <f aca="false">IF(C7="","Pendiente",IF(B7=0,IF(C7=0,"Se parece","Revísalo"),IF(ABS((C7-B7)/B7)&lt;=Tolerancia,"Se parece","Actualiza el libro de la empresa")))</f>
        <v>Pendiente</v>
      </c>
    </row>
    <row r="8" customFormat="false" ht="25.5" hidden="false" customHeight="true" outlineLevel="0" collapsed="false">
      <c r="A8" s="7" t="s">
        <v>133</v>
      </c>
      <c r="B8" s="37" t="n">
        <v>6500</v>
      </c>
      <c r="C8" s="20"/>
      <c r="D8" s="10" t="s">
        <v>134</v>
      </c>
      <c r="E8" s="50" t="str">
        <f aca="false">IF(C8="","",IF(B8=0,C8-B8,(C8-B8)/B8))</f>
        <v/>
      </c>
      <c r="F8" s="9" t="str">
        <f aca="false">IF(C8="","Pendiente",IF(B8=0,IF(C8=0,"Se parece","Revísalo"),IF(ABS((C8-B8)/B8)&lt;=Tolerancia,"Se parece","Actualiza el libro de la empresa")))</f>
        <v>Pendiente</v>
      </c>
    </row>
    <row r="9" customFormat="false" ht="25.5" hidden="false" customHeight="true" outlineLevel="0" collapsed="false">
      <c r="A9" s="7" t="s">
        <v>135</v>
      </c>
      <c r="B9" s="52" t="n">
        <v>0.55</v>
      </c>
      <c r="C9" s="16"/>
      <c r="D9" s="10" t="s">
        <v>136</v>
      </c>
      <c r="E9" s="50" t="str">
        <f aca="false">IF(C9="","",IF(B9=0,C9-B9,(C9-B9)/B9))</f>
        <v/>
      </c>
      <c r="F9" s="9" t="str">
        <f aca="false">IF(C9="","Pendiente",IF(B9=0,IF(C9=0,"Se parece","Revísalo"),IF(ABS((C9-B9)/B9)&lt;=Tolerancia,"Se parece","Actualiza el libro de la empresa")))</f>
        <v>Pendiente</v>
      </c>
    </row>
    <row r="10" customFormat="false" ht="25.5" hidden="false" customHeight="true" outlineLevel="0" collapsed="false">
      <c r="A10" s="7" t="s">
        <v>137</v>
      </c>
      <c r="B10" s="52" t="n">
        <v>0.2</v>
      </c>
      <c r="C10" s="16"/>
      <c r="D10" s="10" t="s">
        <v>138</v>
      </c>
      <c r="E10" s="50" t="str">
        <f aca="false">IF(C10="","",IF(B10=0,C10-B10,(C10-B10)/B10))</f>
        <v/>
      </c>
      <c r="F10" s="9" t="str">
        <f aca="false">IF(C10="","Pendiente",IF(B10=0,IF(C10=0,"Se parece","Revísalo"),IF(ABS((C10-B10)/B10)&lt;=Tolerancia,"Se parece","Actualiza el libro de la empresa")))</f>
        <v>Pendiente</v>
      </c>
    </row>
    <row r="11" customFormat="false" ht="25.5" hidden="false" customHeight="true" outlineLevel="0" collapsed="false">
      <c r="A11" s="7" t="s">
        <v>139</v>
      </c>
      <c r="B11" s="52" t="n">
        <v>0.3</v>
      </c>
      <c r="C11" s="16"/>
      <c r="D11" s="10" t="s">
        <v>140</v>
      </c>
      <c r="E11" s="50" t="str">
        <f aca="false">IF(C11="","",IF(B11=0,C11-B11,(C11-B11)/B11))</f>
        <v/>
      </c>
      <c r="F11" s="9" t="str">
        <f aca="false">IF(C11="","Pendiente",IF(B11=0,IF(C11=0,"Se parece","Revísalo"),IF(ABS((C11-B11)/B11)&lt;=Tolerancia,"Se parece","Actualiza el libro de la empresa")))</f>
        <v>Pendiente</v>
      </c>
    </row>
    <row r="12" customFormat="false" ht="25.5" hidden="false" customHeight="true" outlineLevel="0" collapsed="false">
      <c r="A12" s="7" t="s">
        <v>141</v>
      </c>
      <c r="B12" s="52" t="n">
        <v>0.5</v>
      </c>
      <c r="C12" s="16"/>
      <c r="D12" s="10" t="s">
        <v>142</v>
      </c>
      <c r="E12" s="50" t="str">
        <f aca="false">IF(C12="","",IF(B12=0,C12-B12,(C12-B12)/B12))</f>
        <v/>
      </c>
      <c r="F12" s="9" t="str">
        <f aca="false">IF(C12="","Pendiente",IF(B12=0,IF(C12=0,"Se parece","Revísalo"),IF(ABS((C12-B12)/B12)&lt;=Tolerancia,"Se parece","Actualiza el libro de la empresa")))</f>
        <v>Pendiente</v>
      </c>
    </row>
    <row r="13" customFormat="false" ht="25.5" hidden="false" customHeight="true" outlineLevel="0" collapsed="false">
      <c r="A13" s="7" t="s">
        <v>143</v>
      </c>
      <c r="B13" s="53" t="n">
        <v>0.5</v>
      </c>
      <c r="C13" s="54"/>
      <c r="D13" s="10" t="s">
        <v>144</v>
      </c>
      <c r="E13" s="50" t="str">
        <f aca="false">IF(C13="","",IF(B13=0,C13-B13,(C13-B13)/B13))</f>
        <v/>
      </c>
      <c r="F13" s="9" t="str">
        <f aca="false">IF(C13="","Pendiente",IF(B13=0,IF(C13=0,"Se parece","Revísalo"),IF(ABS((C13-B13)/B13)&lt;=Tolerancia,"Se parece","Actualiza el libro de la empresa")))</f>
        <v>Pendiente</v>
      </c>
    </row>
    <row r="14" customFormat="false" ht="25.5" hidden="false" customHeight="true" outlineLevel="0" collapsed="false">
      <c r="A14" s="7" t="s">
        <v>145</v>
      </c>
      <c r="B14" s="37" t="n">
        <v>15</v>
      </c>
      <c r="C14" s="20"/>
      <c r="D14" s="10" t="s">
        <v>146</v>
      </c>
      <c r="E14" s="50" t="str">
        <f aca="false">IF(C14="","",IF(B14=0,C14-B14,(C14-B14)/B14))</f>
        <v/>
      </c>
      <c r="F14" s="9" t="str">
        <f aca="false">IF(C14="","Pendiente",IF(B14=0,IF(C14=0,"Se parece","Revísalo"),IF(ABS((C14-B14)/B14)&lt;=Tolerancia,"Se parece","Actualiza el libro de la empresa")))</f>
        <v>Pendiente</v>
      </c>
    </row>
    <row r="15" customFormat="false" ht="25.5" hidden="false" customHeight="true" outlineLevel="0" collapsed="false">
      <c r="A15" s="7" t="s">
        <v>147</v>
      </c>
      <c r="B15" s="37" t="n">
        <v>0</v>
      </c>
      <c r="C15" s="20"/>
      <c r="D15" s="10" t="s">
        <v>148</v>
      </c>
      <c r="E15" s="50" t="str">
        <f aca="false">IF(C15="","",IF(B15=0,C15-B15,(C15-B15)/B15))</f>
        <v/>
      </c>
      <c r="F15" s="9" t="str">
        <f aca="false">IF(C15="","Pendiente",IF(B15=0,IF(C15=0,"Se parece","Revísalo"),IF(ABS((C15-B15)/B15)&lt;=Tolerancia,"Se parece","Actualiza el libro de la empresa")))</f>
        <v>Pendiente</v>
      </c>
    </row>
  </sheetData>
  <conditionalFormatting sqref="F6:F15">
    <cfRule type="expression" priority="2" aboveAverage="0" equalAverage="0" bottom="0" percent="0" rank="0" text="" dxfId="1">
      <formula>LEFT(F6,8)="Actualiz"</formula>
    </cfRule>
    <cfRule type="expression" priority="3" aboveAverage="0" equalAverage="0" bottom="0" percent="0" rank="0" text="" dxfId="2">
      <formula>F6="Se parece"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18.5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4" t="s">
        <v>150</v>
      </c>
    </row>
    <row r="4" customFormat="false" ht="15" hidden="false" customHeight="false" outlineLevel="0" collapsed="false">
      <c r="A4" s="5" t="s">
        <v>151</v>
      </c>
      <c r="B4" s="5" t="s">
        <v>152</v>
      </c>
      <c r="C4" s="5" t="s">
        <v>153</v>
      </c>
      <c r="D4" s="5" t="s">
        <v>154</v>
      </c>
      <c r="E4" s="5" t="s">
        <v>155</v>
      </c>
    </row>
    <row r="5" customFormat="false" ht="25.5" hidden="false" customHeight="true" outlineLevel="0" collapsed="false">
      <c r="A5" s="7" t="s">
        <v>156</v>
      </c>
      <c r="B5" s="28" t="s">
        <v>157</v>
      </c>
      <c r="C5" s="28"/>
      <c r="D5" s="55" t="n">
        <v>46295</v>
      </c>
      <c r="E5" s="10" t="s">
        <v>158</v>
      </c>
    </row>
    <row r="6" customFormat="false" ht="25.5" hidden="false" customHeight="true" outlineLevel="0" collapsed="false">
      <c r="A6" s="7" t="s">
        <v>159</v>
      </c>
      <c r="B6" s="28" t="s">
        <v>157</v>
      </c>
      <c r="C6" s="28"/>
      <c r="D6" s="55"/>
      <c r="E6" s="10" t="s">
        <v>160</v>
      </c>
    </row>
    <row r="7" customFormat="false" ht="25.5" hidden="false" customHeight="true" outlineLevel="0" collapsed="false">
      <c r="A7" s="7" t="s">
        <v>161</v>
      </c>
      <c r="B7" s="28" t="s">
        <v>157</v>
      </c>
      <c r="C7" s="28"/>
      <c r="D7" s="55"/>
      <c r="E7" s="10" t="s">
        <v>162</v>
      </c>
    </row>
    <row r="8" customFormat="false" ht="25.5" hidden="false" customHeight="true" outlineLevel="0" collapsed="false">
      <c r="A8" s="7" t="s">
        <v>163</v>
      </c>
      <c r="B8" s="28" t="s">
        <v>157</v>
      </c>
      <c r="C8" s="28"/>
      <c r="D8" s="55"/>
      <c r="E8" s="10" t="s">
        <v>164</v>
      </c>
    </row>
    <row r="9" customFormat="false" ht="25.5" hidden="false" customHeight="true" outlineLevel="0" collapsed="false">
      <c r="A9" s="7" t="s">
        <v>165</v>
      </c>
      <c r="B9" s="28" t="s">
        <v>157</v>
      </c>
      <c r="C9" s="28"/>
      <c r="D9" s="55"/>
      <c r="E9" s="10" t="s">
        <v>166</v>
      </c>
    </row>
    <row r="10" customFormat="false" ht="25.5" hidden="false" customHeight="true" outlineLevel="0" collapsed="false">
      <c r="A10" s="7" t="s">
        <v>167</v>
      </c>
      <c r="B10" s="28" t="s">
        <v>157</v>
      </c>
      <c r="C10" s="28"/>
      <c r="D10" s="55"/>
      <c r="E10" s="10" t="s">
        <v>168</v>
      </c>
    </row>
    <row r="11" customFormat="false" ht="25.5" hidden="false" customHeight="true" outlineLevel="0" collapsed="false">
      <c r="A11" s="7" t="s">
        <v>169</v>
      </c>
      <c r="B11" s="28" t="s">
        <v>157</v>
      </c>
      <c r="C11" s="28"/>
      <c r="D11" s="55"/>
      <c r="E11" s="10" t="s">
        <v>170</v>
      </c>
    </row>
    <row r="12" customFormat="false" ht="25.5" hidden="false" customHeight="true" outlineLevel="0" collapsed="false">
      <c r="A12" s="7" t="s">
        <v>171</v>
      </c>
      <c r="B12" s="28" t="s">
        <v>157</v>
      </c>
      <c r="C12" s="28"/>
      <c r="D12" s="55"/>
      <c r="E12" s="10" t="s">
        <v>172</v>
      </c>
    </row>
    <row r="13" customFormat="false" ht="25.5" hidden="false" customHeight="true" outlineLevel="0" collapsed="false">
      <c r="A13" s="7" t="s">
        <v>173</v>
      </c>
      <c r="B13" s="28" t="s">
        <v>157</v>
      </c>
      <c r="C13" s="28"/>
      <c r="D13" s="55"/>
      <c r="E13" s="10" t="s">
        <v>174</v>
      </c>
    </row>
    <row r="14" customFormat="false" ht="25.5" hidden="false" customHeight="true" outlineLevel="0" collapsed="false">
      <c r="A14" s="7" t="s">
        <v>175</v>
      </c>
      <c r="B14" s="28" t="s">
        <v>157</v>
      </c>
      <c r="C14" s="28"/>
      <c r="D14" s="55"/>
      <c r="E14" s="10" t="s">
        <v>176</v>
      </c>
    </row>
    <row r="15" customFormat="false" ht="25.5" hidden="false" customHeight="true" outlineLevel="0" collapsed="false">
      <c r="A15" s="7" t="s">
        <v>177</v>
      </c>
      <c r="B15" s="28" t="s">
        <v>157</v>
      </c>
      <c r="C15" s="28"/>
      <c r="D15" s="55"/>
      <c r="E15" s="10" t="s">
        <v>178</v>
      </c>
    </row>
    <row r="16" customFormat="false" ht="25.5" hidden="false" customHeight="true" outlineLevel="0" collapsed="false">
      <c r="A16" s="7" t="s">
        <v>179</v>
      </c>
      <c r="B16" s="28" t="s">
        <v>157</v>
      </c>
      <c r="C16" s="28"/>
      <c r="D16" s="55"/>
      <c r="E16" s="10" t="s">
        <v>180</v>
      </c>
    </row>
    <row r="17" customFormat="false" ht="25.5" hidden="false" customHeight="true" outlineLevel="0" collapsed="false">
      <c r="A17" s="7" t="s">
        <v>181</v>
      </c>
      <c r="B17" s="28" t="s">
        <v>157</v>
      </c>
      <c r="C17" s="28"/>
      <c r="D17" s="55"/>
      <c r="E17" s="10" t="s">
        <v>182</v>
      </c>
    </row>
    <row r="18" customFormat="false" ht="25.5" hidden="false" customHeight="true" outlineLevel="0" collapsed="false">
      <c r="A18" s="7" t="s">
        <v>183</v>
      </c>
      <c r="B18" s="28" t="s">
        <v>157</v>
      </c>
      <c r="C18" s="28"/>
      <c r="D18" s="55"/>
      <c r="E18" s="10" t="s">
        <v>184</v>
      </c>
    </row>
    <row r="19" customFormat="false" ht="25.5" hidden="false" customHeight="true" outlineLevel="0" collapsed="false">
      <c r="A19" s="7" t="s">
        <v>185</v>
      </c>
      <c r="B19" s="28" t="s">
        <v>157</v>
      </c>
      <c r="C19" s="28"/>
      <c r="D19" s="55"/>
      <c r="E19" s="10" t="s">
        <v>186</v>
      </c>
    </row>
    <row r="20" customFormat="false" ht="25.5" hidden="false" customHeight="true" outlineLevel="0" collapsed="false">
      <c r="A20" s="7" t="s">
        <v>187</v>
      </c>
      <c r="B20" s="28" t="s">
        <v>157</v>
      </c>
      <c r="C20" s="28"/>
      <c r="D20" s="55"/>
      <c r="E20" s="10" t="s">
        <v>188</v>
      </c>
    </row>
    <row r="22" customFormat="false" ht="15" hidden="false" customHeight="false" outlineLevel="0" collapsed="false">
      <c r="A22" s="56" t="s">
        <v>189</v>
      </c>
      <c r="B22" s="56" t="str">
        <f aca="false">COUNTIF(B5:B20,"Sí")&amp;" de "&amp;COUNTA(A5:A20)</f>
        <v>0 de 16</v>
      </c>
    </row>
  </sheetData>
  <conditionalFormatting sqref="A5:A20">
    <cfRule type="expression" priority="2" aboveAverage="0" equalAverage="0" bottom="0" percent="0" rank="0" text="" dxfId="1">
      <formula>AND($B5&lt;&gt;"Sí",$D5&lt;&gt;"",$D5&lt;=TODAY()+3)</formula>
    </cfRule>
  </conditionalFormatting>
  <conditionalFormatting sqref="A5:B20">
    <cfRule type="expression" priority="3" aboveAverage="0" equalAverage="0" bottom="0" percent="0" rank="0" text="" dxfId="3">
      <formula>$B5="Sí"</formula>
    </cfRule>
  </conditionalFormatting>
  <dataValidations count="1">
    <dataValidation allowBlank="true" errorStyle="stop" operator="between" showDropDown="false" showErrorMessage="false" showInputMessage="false" sqref="B5:B2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2026-09-27T01:07:45Z</dcterms:created>
  <dc:creator>openpyxl</dc:creator>
  <dc:description/>
  <dc:language>en-US</dc:language>
  <cp:lastModifiedBy/>
  <dcterms:modified xsi:type="dcterms:W3CDTF">2026-09-27T01:07:46Z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
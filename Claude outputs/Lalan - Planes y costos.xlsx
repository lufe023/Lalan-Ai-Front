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lanes" sheetId="2" state="visible" r:id="rId4"/>
    <sheet name="Negociación" sheetId="3" state="visible" r:id="rId5"/>
    <sheet name="Sensibilidad" sheetId="4" state="visible" r:id="rId6"/>
    <sheet name="Qué incluye" sheetId="5" state="visible" r:id="rId7"/>
    <sheet name="Fuentes" sheetId="6" state="visible" r:id="rId8"/>
  </sheets>
  <definedNames>
    <definedName function="false" hidden="false" name="CaracteresPorRespuesta" vbProcedure="false">Supuestos!$B$41</definedName>
    <definedName function="false" hidden="false" name="Colchon" vbProcedure="false">Supuestos!$B$7</definedName>
    <definedName function="false" hidden="false" name="ComisionCobro" vbProcedure="false">Supuestos!$B$10</definedName>
    <definedName function="false" hidden="false" name="ComisionOpenRouter" vbProcedure="false">Supuestos!$B$22</definedName>
    <definedName function="false" hidden="false" name="CostoHoraSoporte" vbProcedure="false">Supuestos!$B$50</definedName>
    <definedName function="false" hidden="false" name="CostoIAPorMensaje" vbProcedure="false">Supuestos!$B$23</definedName>
    <definedName function="false" hidden="false" name="CostoTranscripcionPorMensaje" vbProcedure="false">Supuestos!$B$30</definedName>
    <definedName function="false" hidden="false" name="CostoVozPorRespuesta" vbProcedure="false">Supuestos!$B$42</definedName>
    <definedName function="false" hidden="false" name="FactorCambio" vbProcedure="false">Supuestos!$B$53</definedName>
    <definedName function="false" hidden="false" name="FactorNeto" vbProcedure="false">Supuestos!$B$54</definedName>
    <definedName function="false" hidden="false" name="FijoN8n" vbProcedure="false">Supuestos!$B$46</definedName>
    <definedName function="false" hidden="false" name="FijoOtros" vbProcedure="false">Supuestos!$B$48</definedName>
    <definedName function="false" hidden="false" name="FijoPorSalon" vbProcedure="false">Supuestos!$B$52</definedName>
    <definedName function="false" hidden="false" name="FijoServidor" vbProcedure="false">Supuestos!$B$45</definedName>
    <definedName function="false" hidden="false" name="FijosTotal" vbProcedure="false">Supuestos!$B$51</definedName>
    <definedName function="false" hidden="false" name="FijoVoz" vbProcedure="false">Supuestos!$B$47</definedName>
    <definedName function="false" hidden="false" name="GratisPorNumero" vbProcedure="false">Supuestos!$B$34</definedName>
    <definedName function="false" hidden="false" name="IncluyeITBIS" vbProcedure="false">Supuestos!$B$9</definedName>
    <definedName function="false" hidden="false" name="ITBIS" vbProcedure="false">Supuestos!$B$8</definedName>
    <definedName function="false" hidden="false" name="LlamadasPorMensaje" vbProcedure="false">Supuestos!$B$19</definedName>
    <definedName function="false" hidden="false" name="MargenObjetivo" vbProcedure="false">Supuestos!$B$11</definedName>
    <definedName function="false" hidden="false" name="MensajesPorRespuesta" vbProcedure="false">Supuestos!$B$36</definedName>
    <definedName function="false" hidden="false" name="MinimoSegundos" vbProcedure="false">Supuestos!$B$28</definedName>
    <definedName function="false" hidden="false" name="PorcAgrupados" vbProcedure="false">Supuestos!$B$21</definedName>
    <definedName function="false" hidden="false" name="PorcCache" vbProcedure="false">Supuestos!$B$20</definedName>
    <definedName function="false" hidden="false" name="PorcNotasVoz" vbProcedure="false">Supuestos!$B$29</definedName>
    <definedName function="false" hidden="false" name="PrecioCache" vbProcedure="false">Supuestos!$B$16</definedName>
    <definedName function="false" hidden="false" name="PrecioEntrada" vbProcedure="false">Supuestos!$B$14</definedName>
    <definedName function="false" hidden="false" name="PrecioSalida" vbProcedure="false">Supuestos!$B$15</definedName>
    <definedName function="false" hidden="false" name="PrecioTranscripcion" vbProcedure="false">Supuestos!$B$26</definedName>
    <definedName function="false" hidden="false" name="PrecioVoz" vbProcedure="false">Supuestos!$B$40</definedName>
    <definedName function="false" hidden="false" name="RespuestasPorMensaje" vbProcedure="false">Supuestos!$B$37</definedName>
    <definedName function="false" hidden="false" name="SalonesActivos" vbProcedure="false">Supuestos!$B$49</definedName>
    <definedName function="false" hidden="false" name="SegundosNota" vbProcedure="false">Supuestos!$B$27</definedName>
    <definedName function="false" hidden="false" name="TarifaServicio" vbProcedure="false">Supuestos!$B$33</definedName>
    <definedName function="false" hidden="false" name="TarifaUtilidad" vbProcedure="false">Supuestos!$B$35</definedName>
    <definedName function="false" hidden="false" name="TasaUSD" vbProcedure="false">Supuestos!$B$6</definedName>
    <definedName function="false" hidden="false" name="TokensEntrada" vbProcedure="false">Supuestos!$B$17</definedName>
    <definedName function="false" hidden="false" name="TokensSalida" vbProcedure="false">Supuestos!$B$18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<sst xmlns="http://schemas.openxmlformats.org/spreadsheetml/2006/main" count="332" uniqueCount="241">
  <si>
    <t xml:space="preserve">Lalan AI · Supuestos del modelo de costos</t>
  </si>
  <si>
    <t xml:space="preserve">Cambia solo las celdas en AZUL con fondo amarillo. Todo lo demás se calcula solo. Precios de proveedores verificados el 26 de septiembre de 2026 (ver hoja Fuentes).</t>
  </si>
  <si>
    <t xml:space="preserve">Moneda, impuestos y cobro</t>
  </si>
  <si>
    <t xml:space="preserve">Supuesto</t>
  </si>
  <si>
    <t xml:space="preserve">Valor</t>
  </si>
  <si>
    <t xml:space="preserve">Unidad</t>
  </si>
  <si>
    <t xml:space="preserve">De dónde sale / nota</t>
  </si>
  <si>
    <t xml:space="preserve">Tasa del dólar (venta)</t>
  </si>
  <si>
    <t xml:space="preserve">RD$ por US$</t>
  </si>
  <si>
    <t xml:space="preserve">Banco Central RD, tasa de venta del 24-sep-2026 (vigente hasta el 25-sep). Actualízala al negociar.</t>
  </si>
  <si>
    <t xml:space="preserve">Colchón cambiario</t>
  </si>
  <si>
    <t xml:space="preserve">%</t>
  </si>
  <si>
    <t xml:space="preserve">Protección por si el peso se deprecia mientras el precio en pesos queda fijo. Todos los costos en dólares se multiplican por (1 + colchón).</t>
  </si>
  <si>
    <t xml:space="preserve">ITBIS</t>
  </si>
  <si>
    <t xml:space="preserve">Impuesto a la venta en RD.</t>
  </si>
  <si>
    <t xml:space="preserve">¿El precio del plan ya incluye ITBIS? (1 = sí, 0 = no)</t>
  </si>
  <si>
    <t xml:space="preserve">1 / 0</t>
  </si>
  <si>
    <t xml:space="preserve">Con 1, de cada RD$ 118 cobrados, RD$ 18 son del fisco. Pon 0 si facturas ITBIS aparte o si no estás obligado (consúltalo con tu contador).</t>
  </si>
  <si>
    <t xml:space="preserve">Comisión del cobro (tarjeta, pasarela o transferencia)</t>
  </si>
  <si>
    <t xml:space="preserve">% del precio</t>
  </si>
  <si>
    <t xml:space="preserve">Estimado. Ajusta a tu medio de cobro real (Azul, CardNet, PayPal, Stripe…). Transferencia bancaria ≈ 0 %.</t>
  </si>
  <si>
    <t xml:space="preserve">Margen que quieres ganar sobre el ingreso neto</t>
  </si>
  <si>
    <t xml:space="preserve">Se usa para calcular el precio mínimo sugerido de cada plan.</t>
  </si>
  <si>
    <t xml:space="preserve">Inteligencia artificial (OpenRouter · gpt-4.1-mini)</t>
  </si>
  <si>
    <t xml:space="preserve">Precio de entrada</t>
  </si>
  <si>
    <t xml:space="preserve">US$ / millón de tokens</t>
  </si>
  <si>
    <t xml:space="preserve">OpenRouter, openai/gpt-4.1-mini: US$ 0.40 entrada · US$ 1.60 salida por millón.</t>
  </si>
  <si>
    <t xml:space="preserve">Precio de salida</t>
  </si>
  <si>
    <t xml:space="preserve">Ídem.</t>
  </si>
  <si>
    <t xml:space="preserve">Precio de entrada en caché</t>
  </si>
  <si>
    <t xml:space="preserve">ESTIMADO: OpenAI cobra ~25 % del precio por la parte del prompt que se repite (caché). Verifica en OpenRouter.</t>
  </si>
  <si>
    <t xml:space="preserve">Tokens de entrada por llamada al modelo</t>
  </si>
  <si>
    <t xml:space="preserve">tokens</t>
  </si>
  <si>
    <t xml:space="preserve">Medido el 26-sep-2026 con el prompt nuevo, en un salón de 22 servicios y 6 especialistas: mensaje de sistema 3.800 (3.150 fijos + 650 que cambian) + 12 herramientas 1.400 + mensaje y resultados de herramientas ~1.300. Con unos 50 servicios, súmale ~800. Compáralo con la columna Tokens de la actividad de OpenRouter.</t>
  </si>
  <si>
    <t xml:space="preserve">Tokens de salida por llamada</t>
  </si>
  <si>
    <t xml:space="preserve">Una respuesta de chat o una llamada a herramienta.</t>
  </si>
  <si>
    <t xml:space="preserve">Llamadas al modelo cada vez que Lalan contesta</t>
  </si>
  <si>
    <t xml:space="preserve">llamadas</t>
  </si>
  <si>
    <t xml:space="preserve">Una pregunta simple = 1; agendar = 3 o 4 (consulta, agenda, respuesta). 2 es un promedio prudente.</t>
  </si>
  <si>
    <t xml:space="preserve">Parte de la entrada que va en caché</t>
  </si>
  <si>
    <t xml:space="preserve">ESTIMADO. Desde el 26-sep el prompt pone primero lo fijo (reglas, servicios, herramientas ≈ 78 % de la entrada) y al final lo que cambia. La 2.ª y 3.ª llamada de cada respuesta casi siempre sale de caché; la 1.ª, solo si ese salón tuvo otro mensaje en los últimos ~5-10 min. Salón con poco movimiento ≈ 40 %; salón con mucho ≈ 65 %. Verifícalo en OpenRouter (Activity → cached tokens).</t>
  </si>
  <si>
    <t xml:space="preserve">Mensajes de clientas que llegan en ráfaga y se contestan juntos</t>
  </si>
  <si>
    <t xml:space="preserve">ESTIMADO. "hola" · "quería una cita" · "para mañana" = 3 mensajes, 1 respuesta. Lalan espera 7 s por si la clienta sigue escribiendo (se cambia en el nodo Configuración Lalan de n8n). Cuéntalo tú: respuestas de Lalan ÷ mensajes de clientas en el panel de bots.</t>
  </si>
  <si>
    <t xml:space="preserve">Comisión de OpenRouter al recargar créditos</t>
  </si>
  <si>
    <t xml:space="preserve">ESTIMADO (~5,5 % por compra de créditos con tarjeta). Verifica en tu cuenta.</t>
  </si>
  <si>
    <t xml:space="preserve">→ Costo de IA por mensaje de clienta</t>
  </si>
  <si>
    <t xml:space="preserve">US$</t>
  </si>
  <si>
    <t xml:space="preserve">Notas de voz de las clientas (transcripción · Groq Whisper)</t>
  </si>
  <si>
    <t xml:space="preserve">Precio de transcripción</t>
  </si>
  <si>
    <t xml:space="preserve">US$ / hora de audio</t>
  </si>
  <si>
    <t xml:space="preserve">Groq, whisper-large-v3.</t>
  </si>
  <si>
    <t xml:space="preserve">Duración promedio de una nota de voz</t>
  </si>
  <si>
    <t xml:space="preserve">segundos</t>
  </si>
  <si>
    <t xml:space="preserve">Supuesto.</t>
  </si>
  <si>
    <t xml:space="preserve">Mínimo facturable por audio</t>
  </si>
  <si>
    <t xml:space="preserve">Groq cobra al menos 10 s por audio.</t>
  </si>
  <si>
    <t xml:space="preserve">Mensajes de clientas que llegan como nota de voz</t>
  </si>
  <si>
    <t xml:space="preserve">Supuesto; en RD se usan mucho.</t>
  </si>
  <si>
    <t xml:space="preserve">→ Costo de transcripción por mensaje de clienta (promedio)</t>
  </si>
  <si>
    <t xml:space="preserve">WhatsApp (Meta) · desde el 1 de octubre de 2026</t>
  </si>
  <si>
    <t xml:space="preserve">Tarifa por mensaje de servicio (respuestas) pasado el gratis</t>
  </si>
  <si>
    <t xml:space="preserve">US$ / mensaje</t>
  </si>
  <si>
    <t xml:space="preserve">Resto de América Latina (RD está en este grupo). Desde el 1-oct-2026 Meta cobra las respuestas de servicio pasadas las 1.000 gratis por número al mes.</t>
  </si>
  <si>
    <t xml:space="preserve">Mensajes de servicio gratis por número al mes</t>
  </si>
  <si>
    <t xml:space="preserve">mensajes</t>
  </si>
  <si>
    <t xml:space="preserve">Por NÚMERO de WhatsApp (cada salón tiene el suyo). No se acumulan.</t>
  </si>
  <si>
    <t xml:space="preserve">Tarifa de plantilla de utilidad (aviso a la dueña)</t>
  </si>
  <si>
    <t xml:space="preserve">Misma tarifa. Gratis si la dueña escribió a ese número en las últimas 24 h; aquí se asume que siempre se paga.</t>
  </si>
  <si>
    <t xml:space="preserve">Mensajes que manda Lalan cada vez que contesta</t>
  </si>
  <si>
    <t xml:space="preserve">A veces responde en dos mensajes (la cita y luego el Lounge).</t>
  </si>
  <si>
    <t xml:space="preserve">→ Mensajes que salen por cada mensaje de una clienta</t>
  </si>
  <si>
    <t xml:space="preserve">Los mensajes en ráfaga se contestan juntos: una sola respuesta.</t>
  </si>
  <si>
    <t xml:space="preserve">Voz de la dueña (ElevenLabs · clonación de voz)</t>
  </si>
  <si>
    <t xml:space="preserve">Precio por cada 1.000 caracteres convertidos a voz</t>
  </si>
  <si>
    <t xml:space="preserve">ElevenLabs API, modelos Flash/Turbo: US$ 0.06 por 1.000 caracteres. Multilingual (mejor calidad): US$ 0.12.</t>
  </si>
  <si>
    <t xml:space="preserve">Caracteres por respuesta hablada</t>
  </si>
  <si>
    <t xml:space="preserve">caracteres</t>
  </si>
  <si>
    <t xml:space="preserve">Una respuesta de chat típica (~30 palabras).</t>
  </si>
  <si>
    <t xml:space="preserve">→ Costo por respuesta con voz</t>
  </si>
  <si>
    <t xml:space="preserve">Costos fijos del sistema (se reparten entre todos los salones)</t>
  </si>
  <si>
    <t xml:space="preserve">Servidor de la app y base de datos (Railway)</t>
  </si>
  <si>
    <t xml:space="preserve">US$ / mes</t>
  </si>
  <si>
    <t xml:space="preserve">Railway Pro US$ 20 incluye US$ 20 de uso; estimado con algo de consumo extra.</t>
  </si>
  <si>
    <t xml:space="preserve">Servidor de n8n (Railway)</t>
  </si>
  <si>
    <t xml:space="preserve">Estimado.</t>
  </si>
  <si>
    <t xml:space="preserve">Suscripción de voz (ElevenLabs Creator)</t>
  </si>
  <si>
    <t xml:space="preserve">Solo hace falta si vendes la voz de la dueña. Pon 0 si no. Creator incluye 30 voces clonadas.</t>
  </si>
  <si>
    <t xml:space="preserve">Dominio, correo, respaldos y otros</t>
  </si>
  <si>
    <t xml:space="preserve">Salones pagando (para repartir los fijos)</t>
  </si>
  <si>
    <t xml:space="preserve">salones</t>
  </si>
  <si>
    <t xml:space="preserve">Con pocos salones los fijos pesan mucho: prueba 10, 30 y 100.</t>
  </si>
  <si>
    <t xml:space="preserve">Costo de una hora de soporte (tu tiempo o el de alguien)</t>
  </si>
  <si>
    <t xml:space="preserve">RD$ / hora</t>
  </si>
  <si>
    <t xml:space="preserve">→ Costos fijos totales</t>
  </si>
  <si>
    <t xml:space="preserve">→ Fijo que le toca a cada salón</t>
  </si>
  <si>
    <t xml:space="preserve">→ Cuántos pesos cuesta cada dólar de costo (con colchón)</t>
  </si>
  <si>
    <t xml:space="preserve">→ Qué parte del precio te queda (sin ITBIS ni comisión)</t>
  </si>
  <si>
    <t xml:space="preserve">Lalan AI · Planes: costo, precio y margen por salón al mes</t>
  </si>
  <si>
    <t xml:space="preserve">Azul con fondo amarillo = lo negocias tú. Negro = se calcula. Todo en pesos salvo donde dice US$.</t>
  </si>
  <si>
    <t xml:space="preserve">Concepto</t>
  </si>
  <si>
    <t xml:space="preserve">Esencial</t>
  </si>
  <si>
    <t xml:space="preserve">Salón</t>
  </si>
  <si>
    <t xml:space="preserve">Lounge</t>
  </si>
  <si>
    <t xml:space="preserve">Nota</t>
  </si>
  <si>
    <t xml:space="preserve">Lo que negocias</t>
  </si>
  <si>
    <t xml:space="preserve">Precio mensual al salón</t>
  </si>
  <si>
    <t xml:space="preserve">Lo que paga la dueña. Si IncluyeITBIS = 1, este precio ya lleva el ITBIS dentro.</t>
  </si>
  <si>
    <t xml:space="preserve">Mensajes de clientas incluidos al mes</t>
  </si>
  <si>
    <t xml:space="preserve">Mensajes que Lalan atiende. Pasado el límite: paquete extra o sube de plan.</t>
  </si>
  <si>
    <t xml:space="preserve">Uso esperado del límite</t>
  </si>
  <si>
    <t xml:space="preserve">Casi nadie usa el 100 %. Para el peor caso, pon 100 %.</t>
  </si>
  <si>
    <t xml:space="preserve">Mensajes que el equipo escribe desde la app al mes</t>
  </si>
  <si>
    <t xml:space="preserve">También salen por la API de WhatsApp y cuentan para las 1.000 gratis.</t>
  </si>
  <si>
    <t xml:space="preserve">Respuestas de Lalan con la voz de la dueña</t>
  </si>
  <si>
    <t xml:space="preserve">Parte de las respuestas que se mandan como audio. Solo en el plan Lounge.</t>
  </si>
  <si>
    <t xml:space="preserve">Avisos a la dueña al mes (plantilla)</t>
  </si>
  <si>
    <t xml:space="preserve">Chats que pasan a una persona + citas sin especialista.</t>
  </si>
  <si>
    <t xml:space="preserve">Horas de soporte al mes</t>
  </si>
  <si>
    <t xml:space="preserve">Tu tiempo atendiendo dudas y cambios.</t>
  </si>
  <si>
    <t xml:space="preserve">¿Meta se lo cobra al salón directamente? (1 = sí, 0 = lo pagas tú)</t>
  </si>
  <si>
    <t xml:space="preserve">Recomendado 1: cada salón conecta su número y pone SU tarjeta en Meta. Así el costo de WhatsApp nunca es tuyo.</t>
  </si>
  <si>
    <t xml:space="preserve">Costos del mes (US$)</t>
  </si>
  <si>
    <t xml:space="preserve">Mensajes de clientas atendidos</t>
  </si>
  <si>
    <t xml:space="preserve">Inteligencia artificial</t>
  </si>
  <si>
    <t xml:space="preserve">Transcripción de notas de voz</t>
  </si>
  <si>
    <t xml:space="preserve">Mensajes que salen por WhatsApp (cantidad)</t>
  </si>
  <si>
    <t xml:space="preserve">WhatsApp: respuestas pasadas las 1.000 gratis</t>
  </si>
  <si>
    <t xml:space="preserve">0 si Meta se lo cobra al salón.</t>
  </si>
  <si>
    <t xml:space="preserve">WhatsApp: avisos a la dueña</t>
  </si>
  <si>
    <t xml:space="preserve">Voz de la dueña</t>
  </si>
  <si>
    <t xml:space="preserve">Costo variable</t>
  </si>
  <si>
    <t xml:space="preserve">Parte de los costos fijos</t>
  </si>
  <si>
    <t xml:space="preserve">Fijos ÷ salones activos (hoja Supuestos).</t>
  </si>
  <si>
    <t xml:space="preserve">Costo total en dólares</t>
  </si>
  <si>
    <t xml:space="preserve">Resultado del mes (RD$)</t>
  </si>
  <si>
    <t xml:space="preserve">Costos en dólares, pasados a pesos (con colchón)</t>
  </si>
  <si>
    <t xml:space="preserve">Soporte</t>
  </si>
  <si>
    <t xml:space="preserve">COSTO TOTAL</t>
  </si>
  <si>
    <t xml:space="preserve">Ingreso neto (sin ITBIS ni comisión)</t>
  </si>
  <si>
    <t xml:space="preserve">GANANCIA</t>
  </si>
  <si>
    <t xml:space="preserve">Margen sobre el ingreso neto</t>
  </si>
  <si>
    <t xml:space="preserve">Precio mínimo sugerido (para el margen objetivo)</t>
  </si>
  <si>
    <t xml:space="preserve">Lo menos que deberías cobrar para ganar el margen objetivo, con estos supuestos.</t>
  </si>
  <si>
    <t xml:space="preserve">Costo por mensaje de clienta atendido</t>
  </si>
  <si>
    <t xml:space="preserve">Lo que aporta cada salón para pagar los fijos</t>
  </si>
  <si>
    <t xml:space="preserve">Ingreso neto menos lo variable y el soporte.</t>
  </si>
  <si>
    <t xml:space="preserve">Salones de este plan para cubrir los fijos</t>
  </si>
  <si>
    <t xml:space="preserve">Si solo vendieras este plan: cuántos salones necesitas para no perder.</t>
  </si>
  <si>
    <t xml:space="preserve">Paquete extra de mensajes</t>
  </si>
  <si>
    <t xml:space="preserve">Mensajes del paquete extra</t>
  </si>
  <si>
    <t xml:space="preserve">Costo del paquete</t>
  </si>
  <si>
    <t xml:space="preserve">Precio sugerido del paquete (margen objetivo)</t>
  </si>
  <si>
    <t xml:space="preserve">Redondeado a 5 pesos.</t>
  </si>
  <si>
    <t xml:space="preserve">Simulador para negociar con un salón</t>
  </si>
  <si>
    <t xml:space="preserve">Elige el plan de base y cambia lo que estés negociando. Lo demás sale de la hoja Planes y Supuestos.</t>
  </si>
  <si>
    <t xml:space="preserve">Plan de base (1 = Esencial, 2 = Salón, 3 = Lounge)</t>
  </si>
  <si>
    <t xml:space="preserve">Plan elegido</t>
  </si>
  <si>
    <t xml:space="preserve">Precio de lista</t>
  </si>
  <si>
    <t xml:space="preserve">Descuento que ofreces</t>
  </si>
  <si>
    <t xml:space="preserve">Ej.: 10 % por pago anual o por ser de las primeras.</t>
  </si>
  <si>
    <t xml:space="preserve">Precio negociado</t>
  </si>
  <si>
    <t xml:space="preserve">Mensajes incluidos</t>
  </si>
  <si>
    <t xml:space="preserve">Para cambiarlo, escribe encima un número.</t>
  </si>
  <si>
    <t xml:space="preserve">Uso esperado</t>
  </si>
  <si>
    <t xml:space="preserve">Mensajes del equipo desde la app</t>
  </si>
  <si>
    <t xml:space="preserve">Respuestas con la voz de la dueña</t>
  </si>
  <si>
    <t xml:space="preserve">Avisos a la dueña</t>
  </si>
  <si>
    <t xml:space="preserve">Horas de soporte</t>
  </si>
  <si>
    <t xml:space="preserve">¿Meta se lo cobra al salón? (1/0)</t>
  </si>
  <si>
    <t xml:space="preserve">Resultado</t>
  </si>
  <si>
    <t xml:space="preserve">Mensajes atendidos</t>
  </si>
  <si>
    <t xml:space="preserve">Mensajes que salen por WhatsApp</t>
  </si>
  <si>
    <t xml:space="preserve">Costo variable (US$)</t>
  </si>
  <si>
    <t xml:space="preserve">Costo total del mes</t>
  </si>
  <si>
    <t xml:space="preserve">Ingreso neto</t>
  </si>
  <si>
    <t xml:space="preserve">GANANCIA DEL MES</t>
  </si>
  <si>
    <t xml:space="preserve">Margen</t>
  </si>
  <si>
    <t xml:space="preserve">Ganancia en un año con este salón</t>
  </si>
  <si>
    <t xml:space="preserve">¿Conviene?</t>
  </si>
  <si>
    <t xml:space="preserve">¿Qué pasa con el margen si algo cambia?</t>
  </si>
  <si>
    <t xml:space="preserve">Margen de cada plan (hoja Planes) si el dólar sube, si la IA cuesta más, o si la caché no rinde lo esperado. Escribe tus propios factores en las celdas azules.</t>
  </si>
  <si>
    <t xml:space="preserve">Escenario</t>
  </si>
  <si>
    <t xml:space="preserve">Factor dólar</t>
  </si>
  <si>
    <t xml:space="preserve">Factor IA</t>
  </si>
  <si>
    <t xml:space="preserve">Hoy (supuestos tal cual)</t>
  </si>
  <si>
    <t xml:space="preserve">El dólar sube 10 %</t>
  </si>
  <si>
    <t xml:space="preserve">El dólar sube 20 %</t>
  </si>
  <si>
    <t xml:space="preserve">La IA cuesta el doble (otro modelo o más llamadas)</t>
  </si>
  <si>
    <t xml:space="preserve">La caché no rinde (IA ~1,55× más cara)</t>
  </si>
  <si>
    <t xml:space="preserve">Peor caso: dólar +20 % e IA ×2</t>
  </si>
  <si>
    <t xml:space="preserve">Qué incluye cada plan (propuesta)</t>
  </si>
  <si>
    <t xml:space="preserve">Borrador para el documento comercial. Cámbialo con libertad: los costos no dependen de este texto.</t>
  </si>
  <si>
    <t xml:space="preserve">Función</t>
  </si>
  <si>
    <t xml:space="preserve">Para quién</t>
  </si>
  <si>
    <t xml:space="preserve">Uñas y locales pequeños</t>
  </si>
  <si>
    <t xml:space="preserve">Salones con equipo</t>
  </si>
  <si>
    <t xml:space="preserve">Salones premium y spas</t>
  </si>
  <si>
    <t xml:space="preserve">Precio mensual</t>
  </si>
  <si>
    <t xml:space="preserve">Mensajes de clientas al mes</t>
  </si>
  <si>
    <t xml:space="preserve">Lalan responde en WhatsApp 24/7</t>
  </si>
  <si>
    <t xml:space="preserve">Sí</t>
  </si>
  <si>
    <t xml:space="preserve">Entiende notas de voz</t>
  </si>
  <si>
    <t xml:space="preserve">Agenda, reagenda y cancela sola</t>
  </si>
  <si>
    <t xml:space="preserve">Aviso a la dueña por WhatsApp</t>
  </si>
  <si>
    <t xml:space="preserve">Agenda y ficha de clientas</t>
  </si>
  <si>
    <t xml:space="preserve">Especialistas y zonas</t>
  </si>
  <si>
    <t xml:space="preserve">—</t>
  </si>
  <si>
    <t xml:space="preserve">Lounge: música y gustos de cada clienta</t>
  </si>
  <si>
    <t xml:space="preserve">Bienvenida con sus gustos al llegar</t>
  </si>
  <si>
    <t xml:space="preserve">Caja y comandas</t>
  </si>
  <si>
    <t xml:space="preserve">Informes (citas, ganancias, quién agendó)</t>
  </si>
  <si>
    <t xml:space="preserve">Básico</t>
  </si>
  <si>
    <t xml:space="preserve">Completo</t>
  </si>
  <si>
    <t xml:space="preserve">Pantalla de turnos</t>
  </si>
  <si>
    <t xml:space="preserve">Instagram y Messenger (cuando estén listos)</t>
  </si>
  <si>
    <t xml:space="preserve">Usuarios del equipo</t>
  </si>
  <si>
    <t xml:space="preserve">2</t>
  </si>
  <si>
    <t xml:space="preserve">5</t>
  </si>
  <si>
    <t xml:space="preserve">Ilimitados</t>
  </si>
  <si>
    <t xml:space="preserve">Sedes</t>
  </si>
  <si>
    <t xml:space="preserve">1</t>
  </si>
  <si>
    <t xml:space="preserve">Hasta 2</t>
  </si>
  <si>
    <t xml:space="preserve">Por WhatsApp</t>
  </si>
  <si>
    <t xml:space="preserve">Prioritario</t>
  </si>
  <si>
    <t xml:space="preserve">De dónde salen los precios (consultados el 26-sep-2026)</t>
  </si>
  <si>
    <t xml:space="preserve">Tasa del dólar (BCRD)</t>
  </si>
  <si>
    <t xml:space="preserve">https://acento.com.do/economia/precio-del-dolar-hoy-en-republica-dominicana-tasa-de-compra-y-venta-este-jueves-24-de-septiembre-de-2026-9758215.html</t>
  </si>
  <si>
    <t xml:space="preserve">gpt-4.1-mini en OpenRouter</t>
  </si>
  <si>
    <t xml:space="preserve">https://openrouter.ai/openai/gpt-4.1-mini</t>
  </si>
  <si>
    <t xml:space="preserve">Precios de WhatsApp (Meta)</t>
  </si>
  <si>
    <t xml:space="preserve">https://developers.facebook.com/documentation/business-messaging/whatsapp/pricing</t>
  </si>
  <si>
    <t xml:space="preserve">Cobro de mensajes de servicio desde 1-oct-2026</t>
  </si>
  <si>
    <t xml:space="preserve">https://360dialog.com/blog/whatsapp-service-message-charging-october-2026/</t>
  </si>
  <si>
    <t xml:space="preserve">Groq Whisper large v3</t>
  </si>
  <si>
    <t xml:space="preserve">https://console.groq.com/docs/model/whisper-large-v3</t>
  </si>
  <si>
    <t xml:space="preserve">ElevenLabs (planes y API)</t>
  </si>
  <si>
    <t xml:space="preserve">https://texttolab.com/blog/elevenlabs-pricing</t>
  </si>
  <si>
    <t xml:space="preserve">Railway (planes)</t>
  </si>
  <si>
    <t xml:space="preserve">https://docs.railway.com/pricing/plans</t>
  </si>
  <si>
    <t xml:space="preserve">Estimados sin fuente directa</t>
  </si>
  <si>
    <t xml:space="preserve">Caché de OpenAI, comisión de OpenRouter, comisión de cobro, costos de servidor, uso por salón: marcados como ESTIMADO o Supuesto en la hoja Supuestos.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</si>
</sst>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0"/>
    <numFmt numFmtId="166" formatCode="0.0%;\(0.0%\);\-"/>
    <numFmt numFmtId="167" formatCode="0"/>
    <numFmt numFmtId="168" formatCode="&quot;US$&quot;#,##0.00;&quot;(US$&quot;#,##0.00\);\-"/>
    <numFmt numFmtId="169" formatCode="#,##0;\(#,##0\);\-"/>
    <numFmt numFmtId="170" formatCode="#,##0.00;\(#,##0.00\);\-"/>
    <numFmt numFmtId="171" formatCode="&quot;US$&quot;#,##0.0000;&quot;(US$&quot;#,##0.0000\);\-"/>
    <numFmt numFmtId="172" formatCode="&quot;RD$&quot;#,##0;&quot;(RD$&quot;#,##0\);\-"/>
    <numFmt numFmtId="173" formatCode="#,##0.00"/>
    <numFmt numFmtId="174" formatCode="&quot;RD$&quot;#,##0.00;&quot;(RD$&quot;#,##0.00\);\-"/>
    <numFmt numFmtId="175" formatCode="#,##0.0"/>
    <numFmt numFmtId="176" formatCode="@"/>
    <numFmt numFmtId="177" formatCode="0.00\×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A2E46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6EE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46"/>
      <rgbColor rgb="FFF6EEF1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cento.com.do/economia/precio-del-dolar-hoy-en-republica-dominicana-tasa-de-compra-y-venta-este-jueves-24-de-septiembre-de-2026-9758215.html" TargetMode="External"/><Relationship Id="rId2" Type="http://schemas.openxmlformats.org/officeDocument/2006/relationships/hyperlink" Target="https://openrouter.ai/openai/gpt-4.1-mini" TargetMode="External"/><Relationship Id="rId3" Type="http://schemas.openxmlformats.org/officeDocument/2006/relationships/hyperlink" Target="https://developers.facebook.com/documentation/business-messaging/whatsapp/pricing" TargetMode="External"/><Relationship Id="rId4" Type="http://schemas.openxmlformats.org/officeDocument/2006/relationships/hyperlink" Target="https://360dialog.com/blog/whatsapp-service-message-charging-october-2026/" TargetMode="External"/><Relationship Id="rId5" Type="http://schemas.openxmlformats.org/officeDocument/2006/relationships/hyperlink" Target="https://console.groq.com/docs/model/whisper-large-v3" TargetMode="External"/><Relationship Id="rId6" Type="http://schemas.openxmlformats.org/officeDocument/2006/relationships/hyperlink" Target="https://texttolab.com/blog/elevenlabs-pricing" TargetMode="External"/><Relationship Id="rId7" Type="http://schemas.openxmlformats.org/officeDocument/2006/relationships/hyperlink" Target="https://docs.railway.com/pricing/pla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5"/>
      <c r="C4" s="5"/>
      <c r="D4" s="5"/>
    </row>
    <row r="5" customFormat="false" ht="15" hidden="false" customHeight="false" outlineLevel="0" collapsed="false">
      <c r="A5" s="6" t="s">
        <v>3</v>
      </c>
      <c r="B5" s="6" t="s">
        <v>4</v>
      </c>
      <c r="C5" s="6" t="s">
        <v>5</v>
      </c>
      <c r="D5" s="6" t="s">
        <v>6</v>
      </c>
    </row>
    <row r="6" customFormat="false" ht="15" hidden="false" customHeight="false" outlineLevel="0" collapsed="false">
      <c r="A6" s="7" t="s">
        <v>7</v>
      </c>
      <c r="B6" s="8" t="n">
        <v>59.4618</v>
      </c>
      <c r="C6" s="9" t="s">
        <v>8</v>
      </c>
      <c r="D6" s="10" t="s">
        <v>9</v>
      </c>
    </row>
    <row r="7" customFormat="false" ht="22.35" hidden="false" customHeight="false" outlineLevel="0" collapsed="false">
      <c r="A7" s="7" t="s">
        <v>10</v>
      </c>
      <c r="B7" s="11" t="n">
        <v>0.08</v>
      </c>
      <c r="C7" s="9" t="s">
        <v>11</v>
      </c>
      <c r="D7" s="10" t="s">
        <v>12</v>
      </c>
    </row>
    <row r="8" customFormat="false" ht="15" hidden="false" customHeight="false" outlineLevel="0" collapsed="false">
      <c r="A8" s="7" t="s">
        <v>13</v>
      </c>
      <c r="B8" s="11" t="n">
        <v>0.18</v>
      </c>
      <c r="C8" s="9" t="s">
        <v>11</v>
      </c>
      <c r="D8" s="10" t="s">
        <v>14</v>
      </c>
    </row>
    <row r="9" customFormat="false" ht="22.35" hidden="false" customHeight="false" outlineLevel="0" collapsed="false">
      <c r="A9" s="7" t="s">
        <v>15</v>
      </c>
      <c r="B9" s="12" t="n">
        <v>1</v>
      </c>
      <c r="C9" s="9" t="s">
        <v>16</v>
      </c>
      <c r="D9" s="10" t="s">
        <v>17</v>
      </c>
    </row>
    <row r="10" customFormat="false" ht="15" hidden="false" customHeight="false" outlineLevel="0" collapsed="false">
      <c r="A10" s="7" t="s">
        <v>18</v>
      </c>
      <c r="B10" s="11" t="n">
        <v>0.04</v>
      </c>
      <c r="C10" s="9" t="s">
        <v>19</v>
      </c>
      <c r="D10" s="10" t="s">
        <v>20</v>
      </c>
    </row>
    <row r="11" customFormat="false" ht="15" hidden="false" customHeight="false" outlineLevel="0" collapsed="false">
      <c r="A11" s="7" t="s">
        <v>21</v>
      </c>
      <c r="B11" s="11" t="n">
        <v>0.4</v>
      </c>
      <c r="C11" s="9" t="s">
        <v>11</v>
      </c>
      <c r="D11" s="10" t="s">
        <v>22</v>
      </c>
    </row>
    <row r="12" customFormat="false" ht="15" hidden="false" customHeight="false" outlineLevel="0" collapsed="false">
      <c r="A12" s="4" t="s">
        <v>23</v>
      </c>
      <c r="B12" s="5"/>
      <c r="C12" s="5"/>
      <c r="D12" s="5"/>
    </row>
    <row r="13" customFormat="false" ht="15" hidden="false" customHeight="false" outlineLevel="0" collapsed="false">
      <c r="A13" s="6" t="s">
        <v>3</v>
      </c>
      <c r="B13" s="6" t="s">
        <v>4</v>
      </c>
      <c r="C13" s="6" t="s">
        <v>5</v>
      </c>
      <c r="D13" s="6" t="s">
        <v>6</v>
      </c>
    </row>
    <row r="14" customFormat="false" ht="15" hidden="false" customHeight="false" outlineLevel="0" collapsed="false">
      <c r="A14" s="7" t="s">
        <v>24</v>
      </c>
      <c r="B14" s="13" t="n">
        <v>0.4</v>
      </c>
      <c r="C14" s="9" t="s">
        <v>25</v>
      </c>
      <c r="D14" s="10" t="s">
        <v>26</v>
      </c>
    </row>
    <row r="15" customFormat="false" ht="15" hidden="false" customHeight="false" outlineLevel="0" collapsed="false">
      <c r="A15" s="7" t="s">
        <v>27</v>
      </c>
      <c r="B15" s="13" t="n">
        <v>1.6</v>
      </c>
      <c r="C15" s="9" t="s">
        <v>25</v>
      </c>
      <c r="D15" s="10" t="s">
        <v>28</v>
      </c>
    </row>
    <row r="16" customFormat="false" ht="15" hidden="false" customHeight="false" outlineLevel="0" collapsed="false">
      <c r="A16" s="7" t="s">
        <v>29</v>
      </c>
      <c r="B16" s="13" t="n">
        <v>0.1</v>
      </c>
      <c r="C16" s="9" t="s">
        <v>25</v>
      </c>
      <c r="D16" s="10" t="s">
        <v>30</v>
      </c>
    </row>
    <row r="17" customFormat="false" ht="32.8" hidden="false" customHeight="false" outlineLevel="0" collapsed="false">
      <c r="A17" s="7" t="s">
        <v>31</v>
      </c>
      <c r="B17" s="14" t="n">
        <v>6500</v>
      </c>
      <c r="C17" s="9" t="s">
        <v>32</v>
      </c>
      <c r="D17" s="10" t="s">
        <v>33</v>
      </c>
    </row>
    <row r="18" customFormat="false" ht="15" hidden="false" customHeight="false" outlineLevel="0" collapsed="false">
      <c r="A18" s="7" t="s">
        <v>34</v>
      </c>
      <c r="B18" s="14" t="n">
        <v>250</v>
      </c>
      <c r="C18" s="9" t="s">
        <v>32</v>
      </c>
      <c r="D18" s="10" t="s">
        <v>35</v>
      </c>
    </row>
    <row r="19" customFormat="false" ht="15" hidden="false" customHeight="false" outlineLevel="0" collapsed="false">
      <c r="A19" s="7" t="s">
        <v>36</v>
      </c>
      <c r="B19" s="15" t="n">
        <v>2</v>
      </c>
      <c r="C19" s="9" t="s">
        <v>37</v>
      </c>
      <c r="D19" s="10" t="s">
        <v>38</v>
      </c>
    </row>
    <row r="20" customFormat="false" ht="43.25" hidden="false" customHeight="false" outlineLevel="0" collapsed="false">
      <c r="A20" s="7" t="s">
        <v>39</v>
      </c>
      <c r="B20" s="11" t="n">
        <v>0.55</v>
      </c>
      <c r="C20" s="9" t="s">
        <v>11</v>
      </c>
      <c r="D20" s="10" t="s">
        <v>40</v>
      </c>
    </row>
    <row r="21" customFormat="false" ht="32.8" hidden="false" customHeight="false" outlineLevel="0" collapsed="false">
      <c r="A21" s="7" t="s">
        <v>41</v>
      </c>
      <c r="B21" s="11" t="n">
        <v>0.2</v>
      </c>
      <c r="C21" s="9" t="s">
        <v>11</v>
      </c>
      <c r="D21" s="10" t="s">
        <v>42</v>
      </c>
    </row>
    <row r="22" customFormat="false" ht="15" hidden="false" customHeight="false" outlineLevel="0" collapsed="false">
      <c r="A22" s="7" t="s">
        <v>43</v>
      </c>
      <c r="B22" s="11" t="n">
        <v>0.055</v>
      </c>
      <c r="C22" s="9" t="s">
        <v>11</v>
      </c>
      <c r="D22" s="10" t="s">
        <v>44</v>
      </c>
    </row>
    <row r="23" customFormat="false" ht="15" hidden="false" customHeight="false" outlineLevel="0" collapsed="false">
      <c r="A23" s="16" t="s">
        <v>45</v>
      </c>
      <c r="B23" s="17" t="n">
        <f aca="false">((TokensEntrada*(1-PorcCache)*PrecioEntrada+TokensEntrada*PorcCache*PrecioCache+TokensSalida*PrecioSalida)/1000000)*LlamadasPorMensaje*(1-PorcAgrupados)*(1+ComisionOpenRouter)</f>
        <v>0.00325362</v>
      </c>
      <c r="C23" s="18" t="s">
        <v>46</v>
      </c>
      <c r="D23" s="18"/>
    </row>
    <row r="24" customFormat="false" ht="15" hidden="false" customHeight="false" outlineLevel="0" collapsed="false">
      <c r="A24" s="4" t="s">
        <v>47</v>
      </c>
      <c r="B24" s="5"/>
      <c r="C24" s="5"/>
      <c r="D24" s="5"/>
    </row>
    <row r="25" customFormat="false" ht="15" hidden="false" customHeight="false" outlineLevel="0" collapsed="false">
      <c r="A25" s="6" t="s">
        <v>3</v>
      </c>
      <c r="B25" s="6" t="s">
        <v>4</v>
      </c>
      <c r="C25" s="6" t="s">
        <v>5</v>
      </c>
      <c r="D25" s="6" t="s">
        <v>6</v>
      </c>
    </row>
    <row r="26" customFormat="false" ht="15" hidden="false" customHeight="false" outlineLevel="0" collapsed="false">
      <c r="A26" s="7" t="s">
        <v>48</v>
      </c>
      <c r="B26" s="13" t="n">
        <v>0.111</v>
      </c>
      <c r="C26" s="9" t="s">
        <v>49</v>
      </c>
      <c r="D26" s="10" t="s">
        <v>50</v>
      </c>
    </row>
    <row r="27" customFormat="false" ht="15" hidden="false" customHeight="false" outlineLevel="0" collapsed="false">
      <c r="A27" s="7" t="s">
        <v>51</v>
      </c>
      <c r="B27" s="14" t="n">
        <v>20</v>
      </c>
      <c r="C27" s="9" t="s">
        <v>52</v>
      </c>
      <c r="D27" s="10" t="s">
        <v>53</v>
      </c>
    </row>
    <row r="28" customFormat="false" ht="15" hidden="false" customHeight="false" outlineLevel="0" collapsed="false">
      <c r="A28" s="7" t="s">
        <v>54</v>
      </c>
      <c r="B28" s="14" t="n">
        <v>10</v>
      </c>
      <c r="C28" s="9" t="s">
        <v>52</v>
      </c>
      <c r="D28" s="10" t="s">
        <v>55</v>
      </c>
    </row>
    <row r="29" customFormat="false" ht="15" hidden="false" customHeight="false" outlineLevel="0" collapsed="false">
      <c r="A29" s="7" t="s">
        <v>56</v>
      </c>
      <c r="B29" s="11" t="n">
        <v>0.3</v>
      </c>
      <c r="C29" s="9" t="s">
        <v>11</v>
      </c>
      <c r="D29" s="10" t="s">
        <v>57</v>
      </c>
    </row>
    <row r="30" customFormat="false" ht="15" hidden="false" customHeight="false" outlineLevel="0" collapsed="false">
      <c r="A30" s="16" t="s">
        <v>58</v>
      </c>
      <c r="B30" s="17" t="n">
        <f aca="false">PorcNotasVoz*MAX(SegundosNota,MinimoSegundos)/3600*PrecioTranscripcion</f>
        <v>0.000185</v>
      </c>
      <c r="C30" s="18" t="s">
        <v>46</v>
      </c>
      <c r="D30" s="18"/>
    </row>
    <row r="31" customFormat="false" ht="15" hidden="false" customHeight="false" outlineLevel="0" collapsed="false">
      <c r="A31" s="4" t="s">
        <v>59</v>
      </c>
      <c r="B31" s="5"/>
      <c r="C31" s="5"/>
      <c r="D31" s="5"/>
    </row>
    <row r="32" customFormat="false" ht="15" hidden="false" customHeight="false" outlineLevel="0" collapsed="false">
      <c r="A32" s="6" t="s">
        <v>3</v>
      </c>
      <c r="B32" s="6" t="s">
        <v>4</v>
      </c>
      <c r="C32" s="6" t="s">
        <v>5</v>
      </c>
      <c r="D32" s="6" t="s">
        <v>6</v>
      </c>
    </row>
    <row r="33" customFormat="false" ht="22.35" hidden="false" customHeight="false" outlineLevel="0" collapsed="false">
      <c r="A33" s="7" t="s">
        <v>60</v>
      </c>
      <c r="B33" s="19" t="n">
        <v>0.0113</v>
      </c>
      <c r="C33" s="9" t="s">
        <v>61</v>
      </c>
      <c r="D33" s="10" t="s">
        <v>62</v>
      </c>
    </row>
    <row r="34" customFormat="false" ht="15" hidden="false" customHeight="false" outlineLevel="0" collapsed="false">
      <c r="A34" s="7" t="s">
        <v>63</v>
      </c>
      <c r="B34" s="14" t="n">
        <v>1000</v>
      </c>
      <c r="C34" s="9" t="s">
        <v>64</v>
      </c>
      <c r="D34" s="10" t="s">
        <v>65</v>
      </c>
    </row>
    <row r="35" customFormat="false" ht="15" hidden="false" customHeight="false" outlineLevel="0" collapsed="false">
      <c r="A35" s="7" t="s">
        <v>66</v>
      </c>
      <c r="B35" s="19" t="n">
        <v>0.0113</v>
      </c>
      <c r="C35" s="9" t="s">
        <v>61</v>
      </c>
      <c r="D35" s="10" t="s">
        <v>67</v>
      </c>
    </row>
    <row r="36" customFormat="false" ht="15" hidden="false" customHeight="false" outlineLevel="0" collapsed="false">
      <c r="A36" s="7" t="s">
        <v>68</v>
      </c>
      <c r="B36" s="15" t="n">
        <v>1.2</v>
      </c>
      <c r="C36" s="9" t="s">
        <v>64</v>
      </c>
      <c r="D36" s="10" t="s">
        <v>69</v>
      </c>
    </row>
    <row r="37" customFormat="false" ht="15" hidden="false" customHeight="false" outlineLevel="0" collapsed="false">
      <c r="A37" s="16" t="s">
        <v>70</v>
      </c>
      <c r="B37" s="20" t="n">
        <f aca="false">MensajesPorRespuesta*(1-PorcAgrupados)</f>
        <v>0.96</v>
      </c>
      <c r="C37" s="18" t="s">
        <v>64</v>
      </c>
      <c r="D37" s="18" t="s">
        <v>71</v>
      </c>
    </row>
    <row r="38" customFormat="false" ht="15" hidden="false" customHeight="false" outlineLevel="0" collapsed="false">
      <c r="A38" s="4" t="s">
        <v>72</v>
      </c>
      <c r="B38" s="5"/>
      <c r="C38" s="5"/>
      <c r="D38" s="5"/>
    </row>
    <row r="39" customFormat="false" ht="15" hidden="false" customHeight="false" outlineLevel="0" collapsed="false">
      <c r="A39" s="6" t="s">
        <v>3</v>
      </c>
      <c r="B39" s="6" t="s">
        <v>4</v>
      </c>
      <c r="C39" s="6" t="s">
        <v>5</v>
      </c>
      <c r="D39" s="6" t="s">
        <v>6</v>
      </c>
    </row>
    <row r="40" customFormat="false" ht="15" hidden="false" customHeight="false" outlineLevel="0" collapsed="false">
      <c r="A40" s="7" t="s">
        <v>73</v>
      </c>
      <c r="B40" s="13" t="n">
        <v>0.06</v>
      </c>
      <c r="C40" s="9" t="s">
        <v>46</v>
      </c>
      <c r="D40" s="10" t="s">
        <v>74</v>
      </c>
    </row>
    <row r="41" customFormat="false" ht="15" hidden="false" customHeight="false" outlineLevel="0" collapsed="false">
      <c r="A41" s="7" t="s">
        <v>75</v>
      </c>
      <c r="B41" s="14" t="n">
        <v>180</v>
      </c>
      <c r="C41" s="9" t="s">
        <v>76</v>
      </c>
      <c r="D41" s="10" t="s">
        <v>77</v>
      </c>
    </row>
    <row r="42" customFormat="false" ht="15" hidden="false" customHeight="false" outlineLevel="0" collapsed="false">
      <c r="A42" s="16" t="s">
        <v>78</v>
      </c>
      <c r="B42" s="17" t="n">
        <f aca="false">CaracteresPorRespuesta/1000*PrecioVoz</f>
        <v>0.0108</v>
      </c>
      <c r="C42" s="18" t="s">
        <v>46</v>
      </c>
      <c r="D42" s="18"/>
    </row>
    <row r="43" customFormat="false" ht="15" hidden="false" customHeight="false" outlineLevel="0" collapsed="false">
      <c r="A43" s="4" t="s">
        <v>79</v>
      </c>
      <c r="B43" s="5"/>
      <c r="C43" s="5"/>
      <c r="D43" s="5"/>
    </row>
    <row r="44" customFormat="false" ht="15" hidden="false" customHeight="false" outlineLevel="0" collapsed="false">
      <c r="A44" s="6" t="s">
        <v>3</v>
      </c>
      <c r="B44" s="6" t="s">
        <v>4</v>
      </c>
      <c r="C44" s="6" t="s">
        <v>5</v>
      </c>
      <c r="D44" s="6" t="s">
        <v>6</v>
      </c>
    </row>
    <row r="45" customFormat="false" ht="15" hidden="false" customHeight="false" outlineLevel="0" collapsed="false">
      <c r="A45" s="7" t="s">
        <v>80</v>
      </c>
      <c r="B45" s="13" t="n">
        <v>25</v>
      </c>
      <c r="C45" s="9" t="s">
        <v>81</v>
      </c>
      <c r="D45" s="10" t="s">
        <v>82</v>
      </c>
    </row>
    <row r="46" customFormat="false" ht="15" hidden="false" customHeight="false" outlineLevel="0" collapsed="false">
      <c r="A46" s="7" t="s">
        <v>83</v>
      </c>
      <c r="B46" s="13" t="n">
        <v>15</v>
      </c>
      <c r="C46" s="9" t="s">
        <v>81</v>
      </c>
      <c r="D46" s="10" t="s">
        <v>84</v>
      </c>
    </row>
    <row r="47" customFormat="false" ht="15" hidden="false" customHeight="false" outlineLevel="0" collapsed="false">
      <c r="A47" s="7" t="s">
        <v>85</v>
      </c>
      <c r="B47" s="13" t="n">
        <v>22</v>
      </c>
      <c r="C47" s="9" t="s">
        <v>81</v>
      </c>
      <c r="D47" s="10" t="s">
        <v>86</v>
      </c>
    </row>
    <row r="48" customFormat="false" ht="15" hidden="false" customHeight="false" outlineLevel="0" collapsed="false">
      <c r="A48" s="7" t="s">
        <v>87</v>
      </c>
      <c r="B48" s="13" t="n">
        <v>10</v>
      </c>
      <c r="C48" s="9" t="s">
        <v>81</v>
      </c>
      <c r="D48" s="10" t="s">
        <v>84</v>
      </c>
    </row>
    <row r="49" customFormat="false" ht="15" hidden="false" customHeight="false" outlineLevel="0" collapsed="false">
      <c r="A49" s="7" t="s">
        <v>88</v>
      </c>
      <c r="B49" s="14" t="n">
        <v>30</v>
      </c>
      <c r="C49" s="9" t="s">
        <v>89</v>
      </c>
      <c r="D49" s="10" t="s">
        <v>90</v>
      </c>
    </row>
    <row r="50" customFormat="false" ht="15" hidden="false" customHeight="false" outlineLevel="0" collapsed="false">
      <c r="A50" s="7" t="s">
        <v>91</v>
      </c>
      <c r="B50" s="21" t="n">
        <v>400</v>
      </c>
      <c r="C50" s="9" t="s">
        <v>92</v>
      </c>
      <c r="D50" s="10" t="s">
        <v>53</v>
      </c>
    </row>
    <row r="51" customFormat="false" ht="15" hidden="false" customHeight="false" outlineLevel="0" collapsed="false">
      <c r="A51" s="16" t="s">
        <v>93</v>
      </c>
      <c r="B51" s="22" t="n">
        <f aca="false">FijoServidor+FijoN8n+FijoVoz+FijoOtros</f>
        <v>72</v>
      </c>
      <c r="C51" s="18" t="s">
        <v>81</v>
      </c>
      <c r="D51" s="18"/>
    </row>
    <row r="52" customFormat="false" ht="15" hidden="false" customHeight="false" outlineLevel="0" collapsed="false">
      <c r="A52" s="16" t="s">
        <v>94</v>
      </c>
      <c r="B52" s="22" t="n">
        <f aca="false">IF(SalonesActivos&gt;0,FijosTotal/SalonesActivos,0)</f>
        <v>2.4</v>
      </c>
      <c r="C52" s="18" t="s">
        <v>81</v>
      </c>
      <c r="D52" s="18"/>
    </row>
    <row r="53" customFormat="false" ht="15" hidden="false" customHeight="false" outlineLevel="0" collapsed="false">
      <c r="A53" s="16" t="s">
        <v>95</v>
      </c>
      <c r="B53" s="23" t="n">
        <f aca="false">TasaUSD*(1+Colchon)</f>
        <v>64.218744</v>
      </c>
      <c r="C53" s="18" t="s">
        <v>8</v>
      </c>
      <c r="D53" s="18"/>
    </row>
    <row r="54" customFormat="false" ht="15" hidden="false" customHeight="false" outlineLevel="0" collapsed="false">
      <c r="A54" s="16" t="s">
        <v>96</v>
      </c>
      <c r="B54" s="24" t="n">
        <f aca="false">(1-ComisionCobro)/(1+ITBIS*IncluyeITBIS)</f>
        <v>0.813559322033898</v>
      </c>
      <c r="C54" s="18" t="s">
        <v>11</v>
      </c>
      <c r="D5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2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97</v>
      </c>
      <c r="B1" s="2"/>
      <c r="C1" s="2"/>
      <c r="D1" s="2"/>
      <c r="E1" s="2"/>
    </row>
    <row r="2" customFormat="false" ht="15" hidden="false" customHeight="false" outlineLevel="0" collapsed="false">
      <c r="A2" s="3" t="s">
        <v>98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99</v>
      </c>
      <c r="B4" s="4" t="s">
        <v>100</v>
      </c>
      <c r="C4" s="4" t="s">
        <v>101</v>
      </c>
      <c r="D4" s="4" t="s">
        <v>102</v>
      </c>
      <c r="E4" s="4" t="s">
        <v>103</v>
      </c>
    </row>
    <row r="5" customFormat="false" ht="15" hidden="false" customHeight="false" outlineLevel="0" collapsed="false">
      <c r="A5" s="4" t="s">
        <v>104</v>
      </c>
      <c r="B5" s="5"/>
      <c r="C5" s="5"/>
      <c r="D5" s="5"/>
      <c r="E5" s="5"/>
    </row>
    <row r="6" customFormat="false" ht="15" hidden="false" customHeight="false" outlineLevel="0" collapsed="false">
      <c r="A6" s="7" t="s">
        <v>105</v>
      </c>
      <c r="B6" s="21" t="n">
        <v>495</v>
      </c>
      <c r="C6" s="21" t="n">
        <v>1490</v>
      </c>
      <c r="D6" s="21" t="n">
        <v>2990</v>
      </c>
      <c r="E6" s="10" t="s">
        <v>106</v>
      </c>
    </row>
    <row r="7" customFormat="false" ht="15" hidden="false" customHeight="false" outlineLevel="0" collapsed="false">
      <c r="A7" s="7" t="s">
        <v>107</v>
      </c>
      <c r="B7" s="14" t="n">
        <v>200</v>
      </c>
      <c r="C7" s="14" t="n">
        <v>1000</v>
      </c>
      <c r="D7" s="14" t="n">
        <v>2000</v>
      </c>
      <c r="E7" s="10" t="s">
        <v>108</v>
      </c>
    </row>
    <row r="8" customFormat="false" ht="15" hidden="false" customHeight="false" outlineLevel="0" collapsed="false">
      <c r="A8" s="7" t="s">
        <v>109</v>
      </c>
      <c r="B8" s="11" t="n">
        <v>0.7</v>
      </c>
      <c r="C8" s="11" t="n">
        <v>0.6</v>
      </c>
      <c r="D8" s="11" t="n">
        <v>0.6</v>
      </c>
      <c r="E8" s="10" t="s">
        <v>110</v>
      </c>
    </row>
    <row r="9" customFormat="false" ht="15" hidden="false" customHeight="false" outlineLevel="0" collapsed="false">
      <c r="A9" s="7" t="s">
        <v>111</v>
      </c>
      <c r="B9" s="14" t="n">
        <v>40</v>
      </c>
      <c r="C9" s="14" t="n">
        <v>200</v>
      </c>
      <c r="D9" s="14" t="n">
        <v>500</v>
      </c>
      <c r="E9" s="10" t="s">
        <v>112</v>
      </c>
    </row>
    <row r="10" customFormat="false" ht="15" hidden="false" customHeight="false" outlineLevel="0" collapsed="false">
      <c r="A10" s="7" t="s">
        <v>113</v>
      </c>
      <c r="B10" s="11" t="n">
        <v>0</v>
      </c>
      <c r="C10" s="11" t="n">
        <v>0</v>
      </c>
      <c r="D10" s="11" t="n">
        <v>0.2</v>
      </c>
      <c r="E10" s="10" t="s">
        <v>114</v>
      </c>
    </row>
    <row r="11" customFormat="false" ht="15" hidden="false" customHeight="false" outlineLevel="0" collapsed="false">
      <c r="A11" s="7" t="s">
        <v>115</v>
      </c>
      <c r="B11" s="14" t="n">
        <v>10</v>
      </c>
      <c r="C11" s="14" t="n">
        <v>20</v>
      </c>
      <c r="D11" s="14" t="n">
        <v>40</v>
      </c>
      <c r="E11" s="10" t="s">
        <v>116</v>
      </c>
    </row>
    <row r="12" customFormat="false" ht="15" hidden="false" customHeight="false" outlineLevel="0" collapsed="false">
      <c r="A12" s="7" t="s">
        <v>117</v>
      </c>
      <c r="B12" s="15" t="n">
        <v>0.1</v>
      </c>
      <c r="C12" s="15" t="n">
        <v>0.5</v>
      </c>
      <c r="D12" s="15" t="n">
        <v>1</v>
      </c>
      <c r="E12" s="10" t="s">
        <v>118</v>
      </c>
    </row>
    <row r="13" customFormat="false" ht="22.35" hidden="false" customHeight="false" outlineLevel="0" collapsed="false">
      <c r="A13" s="7" t="s">
        <v>119</v>
      </c>
      <c r="B13" s="12" t="n">
        <v>1</v>
      </c>
      <c r="C13" s="12" t="n">
        <v>1</v>
      </c>
      <c r="D13" s="12" t="n">
        <v>1</v>
      </c>
      <c r="E13" s="10" t="s">
        <v>120</v>
      </c>
    </row>
    <row r="14" customFormat="false" ht="15" hidden="false" customHeight="false" outlineLevel="0" collapsed="false">
      <c r="A14" s="4" t="s">
        <v>121</v>
      </c>
      <c r="B14" s="5"/>
      <c r="C14" s="5"/>
      <c r="D14" s="5"/>
      <c r="E14" s="5"/>
    </row>
    <row r="15" customFormat="false" ht="15" hidden="false" customHeight="false" outlineLevel="0" collapsed="false">
      <c r="A15" s="7" t="s">
        <v>122</v>
      </c>
      <c r="B15" s="25" t="n">
        <f aca="false">B7*B8</f>
        <v>140</v>
      </c>
      <c r="C15" s="26" t="n">
        <f aca="false">C7*C8</f>
        <v>600</v>
      </c>
      <c r="D15" s="26" t="n">
        <f aca="false">D7*D8</f>
        <v>1200</v>
      </c>
      <c r="E15" s="10"/>
    </row>
    <row r="16" customFormat="false" ht="15" hidden="false" customHeight="false" outlineLevel="0" collapsed="false">
      <c r="A16" s="7" t="s">
        <v>123</v>
      </c>
      <c r="B16" s="27" t="n">
        <f aca="false">B15*CostoIAPorMensaje</f>
        <v>0.4555068</v>
      </c>
      <c r="C16" s="27" t="n">
        <f aca="false">C15*CostoIAPorMensaje</f>
        <v>1.952172</v>
      </c>
      <c r="D16" s="27" t="n">
        <f aca="false">D15*CostoIAPorMensaje</f>
        <v>3.904344</v>
      </c>
      <c r="E16" s="10"/>
    </row>
    <row r="17" customFormat="false" ht="15" hidden="false" customHeight="false" outlineLevel="0" collapsed="false">
      <c r="A17" s="7" t="s">
        <v>124</v>
      </c>
      <c r="B17" s="27" t="n">
        <f aca="false">B15*CostoTranscripcionPorMensaje</f>
        <v>0.0259</v>
      </c>
      <c r="C17" s="27" t="n">
        <f aca="false">C15*CostoTranscripcionPorMensaje</f>
        <v>0.111</v>
      </c>
      <c r="D17" s="27" t="n">
        <f aca="false">D15*CostoTranscripcionPorMensaje</f>
        <v>0.222</v>
      </c>
      <c r="E17" s="10"/>
    </row>
    <row r="18" customFormat="false" ht="15" hidden="false" customHeight="false" outlineLevel="0" collapsed="false">
      <c r="A18" s="7" t="s">
        <v>125</v>
      </c>
      <c r="B18" s="25" t="n">
        <f aca="false">B15*RespuestasPorMensaje+B9</f>
        <v>174.4</v>
      </c>
      <c r="C18" s="25" t="n">
        <f aca="false">C15*RespuestasPorMensaje+C9</f>
        <v>776</v>
      </c>
      <c r="D18" s="25" t="n">
        <f aca="false">D15*RespuestasPorMensaje+D9</f>
        <v>1652</v>
      </c>
      <c r="E18" s="10"/>
    </row>
    <row r="19" customFormat="false" ht="15" hidden="false" customHeight="false" outlineLevel="0" collapsed="false">
      <c r="A19" s="7" t="s">
        <v>126</v>
      </c>
      <c r="B19" s="27" t="n">
        <f aca="false">MAX(0,B18-GratisPorNumero)*TarifaServicio*(1-B13)</f>
        <v>0</v>
      </c>
      <c r="C19" s="27" t="n">
        <f aca="false">MAX(0,C18-GratisPorNumero)*TarifaServicio*(1-C13)</f>
        <v>0</v>
      </c>
      <c r="D19" s="27" t="n">
        <f aca="false">MAX(0,D18-GratisPorNumero)*TarifaServicio*(1-D13)</f>
        <v>0</v>
      </c>
      <c r="E19" s="10" t="s">
        <v>127</v>
      </c>
    </row>
    <row r="20" customFormat="false" ht="15" hidden="false" customHeight="false" outlineLevel="0" collapsed="false">
      <c r="A20" s="7" t="s">
        <v>128</v>
      </c>
      <c r="B20" s="27" t="n">
        <f aca="false">B11*TarifaUtilidad*(1-B13)</f>
        <v>0</v>
      </c>
      <c r="C20" s="27" t="n">
        <f aca="false">C11*TarifaUtilidad*(1-C13)</f>
        <v>0</v>
      </c>
      <c r="D20" s="27" t="n">
        <f aca="false">D11*TarifaUtilidad*(1-D13)</f>
        <v>0</v>
      </c>
      <c r="E20" s="10"/>
    </row>
    <row r="21" customFormat="false" ht="15" hidden="false" customHeight="false" outlineLevel="0" collapsed="false">
      <c r="A21" s="7" t="s">
        <v>129</v>
      </c>
      <c r="B21" s="27" t="n">
        <f aca="false">B15*RespuestasPorMensaje*B10*CostoVozPorRespuesta</f>
        <v>0</v>
      </c>
      <c r="C21" s="27" t="n">
        <f aca="false">C15*RespuestasPorMensaje*C10*CostoVozPorRespuesta</f>
        <v>0</v>
      </c>
      <c r="D21" s="27" t="n">
        <f aca="false">D15*RespuestasPorMensaje*D10*CostoVozPorRespuesta</f>
        <v>2.48832</v>
      </c>
      <c r="E21" s="10"/>
    </row>
    <row r="22" customFormat="false" ht="15" hidden="false" customHeight="false" outlineLevel="0" collapsed="false">
      <c r="A22" s="28" t="s">
        <v>130</v>
      </c>
      <c r="B22" s="29" t="n">
        <f aca="false">B16+B17+B19+B20+B21</f>
        <v>0.4814068</v>
      </c>
      <c r="C22" s="29" t="n">
        <f aca="false">C16+C17+C19+C20+C21</f>
        <v>2.063172</v>
      </c>
      <c r="D22" s="29" t="n">
        <f aca="false">D16+D17+D19+D20+D21</f>
        <v>6.614664</v>
      </c>
      <c r="E22" s="10"/>
    </row>
    <row r="23" customFormat="false" ht="15" hidden="false" customHeight="false" outlineLevel="0" collapsed="false">
      <c r="A23" s="7" t="s">
        <v>131</v>
      </c>
      <c r="B23" s="27" t="n">
        <f aca="false">FijoPorSalon</f>
        <v>2.4</v>
      </c>
      <c r="C23" s="27" t="n">
        <f aca="false">FijoPorSalon</f>
        <v>2.4</v>
      </c>
      <c r="D23" s="27" t="n">
        <f aca="false">FijoPorSalon</f>
        <v>2.4</v>
      </c>
      <c r="E23" s="10" t="s">
        <v>132</v>
      </c>
    </row>
    <row r="24" customFormat="false" ht="15" hidden="false" customHeight="false" outlineLevel="0" collapsed="false">
      <c r="A24" s="28" t="s">
        <v>133</v>
      </c>
      <c r="B24" s="29" t="n">
        <f aca="false">B22+B23</f>
        <v>2.8814068</v>
      </c>
      <c r="C24" s="29" t="n">
        <f aca="false">C22+C23</f>
        <v>4.463172</v>
      </c>
      <c r="D24" s="29" t="n">
        <f aca="false">D22+D23</f>
        <v>9.014664</v>
      </c>
      <c r="E24" s="10"/>
    </row>
    <row r="25" customFormat="false" ht="15" hidden="false" customHeight="false" outlineLevel="0" collapsed="false">
      <c r="A25" s="4" t="s">
        <v>134</v>
      </c>
      <c r="B25" s="5"/>
      <c r="C25" s="5"/>
      <c r="D25" s="5"/>
      <c r="E25" s="5"/>
    </row>
    <row r="26" customFormat="false" ht="15" hidden="false" customHeight="false" outlineLevel="0" collapsed="false">
      <c r="A26" s="7" t="s">
        <v>135</v>
      </c>
      <c r="B26" s="30" t="n">
        <f aca="false">B24*FactorCambio</f>
        <v>185.040325649059</v>
      </c>
      <c r="C26" s="30" t="n">
        <f aca="false">C24*FactorCambio</f>
        <v>286.619300095968</v>
      </c>
      <c r="D26" s="30" t="n">
        <f aca="false">D24*FactorCambio</f>
        <v>578.910399662016</v>
      </c>
      <c r="E26" s="10"/>
    </row>
    <row r="27" customFormat="false" ht="15" hidden="false" customHeight="false" outlineLevel="0" collapsed="false">
      <c r="A27" s="7" t="s">
        <v>136</v>
      </c>
      <c r="B27" s="30" t="n">
        <f aca="false">B12*CostoHoraSoporte</f>
        <v>40</v>
      </c>
      <c r="C27" s="30" t="n">
        <f aca="false">C12*CostoHoraSoporte</f>
        <v>200</v>
      </c>
      <c r="D27" s="30" t="n">
        <f aca="false">D12*CostoHoraSoporte</f>
        <v>400</v>
      </c>
      <c r="E27" s="10"/>
    </row>
    <row r="28" customFormat="false" ht="15" hidden="false" customHeight="false" outlineLevel="0" collapsed="false">
      <c r="A28" s="28" t="s">
        <v>137</v>
      </c>
      <c r="B28" s="31" t="n">
        <f aca="false">B26+B27</f>
        <v>225.040325649059</v>
      </c>
      <c r="C28" s="31" t="n">
        <f aca="false">C26+C27</f>
        <v>486.619300095968</v>
      </c>
      <c r="D28" s="31" t="n">
        <f aca="false">D26+D27</f>
        <v>978.910399662016</v>
      </c>
      <c r="E28" s="10"/>
    </row>
    <row r="29" customFormat="false" ht="15" hidden="false" customHeight="false" outlineLevel="0" collapsed="false">
      <c r="A29" s="7" t="s">
        <v>138</v>
      </c>
      <c r="B29" s="30" t="n">
        <f aca="false">B6*FactorNeto</f>
        <v>402.71186440678</v>
      </c>
      <c r="C29" s="30" t="n">
        <f aca="false">C6*FactorNeto</f>
        <v>1212.20338983051</v>
      </c>
      <c r="D29" s="30" t="n">
        <f aca="false">D6*FactorNeto</f>
        <v>2432.54237288136</v>
      </c>
      <c r="E29" s="10"/>
    </row>
    <row r="30" customFormat="false" ht="15" hidden="false" customHeight="false" outlineLevel="0" collapsed="false">
      <c r="A30" s="28" t="s">
        <v>139</v>
      </c>
      <c r="B30" s="32" t="n">
        <f aca="false">B29-B28</f>
        <v>177.671538757721</v>
      </c>
      <c r="C30" s="32" t="n">
        <f aca="false">C29-C28</f>
        <v>725.584089734541</v>
      </c>
      <c r="D30" s="32" t="n">
        <f aca="false">D29-D28</f>
        <v>1453.63197321934</v>
      </c>
      <c r="E30" s="10"/>
    </row>
    <row r="31" customFormat="false" ht="15" hidden="false" customHeight="false" outlineLevel="0" collapsed="false">
      <c r="A31" s="28" t="s">
        <v>140</v>
      </c>
      <c r="B31" s="33" t="n">
        <f aca="false">IF(B29&gt;0,B30/B29,0)</f>
        <v>0.441187743548212</v>
      </c>
      <c r="C31" s="33" t="n">
        <f aca="false">IF(C29&gt;0,C30/C29,0)</f>
        <v>0.598566293265351</v>
      </c>
      <c r="D31" s="33" t="n">
        <f aca="false">IF(D29&gt;0,D30/D29,0)</f>
        <v>0.597577246515754</v>
      </c>
      <c r="E31" s="10"/>
    </row>
    <row r="32" customFormat="false" ht="15" hidden="false" customHeight="false" outlineLevel="0" collapsed="false">
      <c r="A32" s="7" t="s">
        <v>141</v>
      </c>
      <c r="B32" s="30" t="n">
        <f aca="false">IF((1-MargenObjetivo)*FactorNeto&gt;0,B28/((1-MargenObjetivo)*FactorNeto),0)</f>
        <v>461.020111572725</v>
      </c>
      <c r="C32" s="30" t="n">
        <f aca="false">IF((1-MargenObjetivo)*FactorNeto&gt;0,C28/((1-MargenObjetivo)*FactorNeto),0)</f>
        <v>996.893705057712</v>
      </c>
      <c r="D32" s="30" t="n">
        <f aca="false">IF((1-MargenObjetivo)*FactorNeto&gt;0,D28/((1-MargenObjetivo)*FactorNeto),0)</f>
        <v>2005.40672152982</v>
      </c>
      <c r="E32" s="10" t="s">
        <v>142</v>
      </c>
    </row>
    <row r="33" customFormat="false" ht="15" hidden="false" customHeight="false" outlineLevel="0" collapsed="false">
      <c r="A33" s="7" t="s">
        <v>143</v>
      </c>
      <c r="B33" s="34" t="n">
        <f aca="false">IF(B15&gt;0,B28/B15,0)</f>
        <v>1.60743089749328</v>
      </c>
      <c r="C33" s="34" t="n">
        <f aca="false">IF(C15&gt;0,C28/C15,0)</f>
        <v>0.811032166826613</v>
      </c>
      <c r="D33" s="34" t="n">
        <f aca="false">IF(D15&gt;0,D28/D15,0)</f>
        <v>0.815758666385013</v>
      </c>
      <c r="E33" s="10"/>
    </row>
    <row r="34" customFormat="false" ht="15" hidden="false" customHeight="false" outlineLevel="0" collapsed="false">
      <c r="A34" s="7" t="s">
        <v>144</v>
      </c>
      <c r="B34" s="30" t="n">
        <f aca="false">B29-(B22*FactorCambio+B27)</f>
        <v>331.796524357721</v>
      </c>
      <c r="C34" s="30" t="n">
        <f aca="false">C29-(C22*FactorCambio+C27)</f>
        <v>879.709075334541</v>
      </c>
      <c r="D34" s="30" t="n">
        <f aca="false">D29-(D22*FactorCambio+D27)</f>
        <v>1607.75695881934</v>
      </c>
      <c r="E34" s="10" t="s">
        <v>145</v>
      </c>
    </row>
    <row r="35" customFormat="false" ht="15" hidden="false" customHeight="false" outlineLevel="0" collapsed="false">
      <c r="A35" s="7" t="s">
        <v>146</v>
      </c>
      <c r="B35" s="35" t="n">
        <f aca="false">IF(B34&gt;0,FijosTotal*FactorCambio/B34,"no cubre")</f>
        <v>13.9354972959722</v>
      </c>
      <c r="C35" s="35" t="n">
        <f aca="false">IF(C34&gt;0,FijosTotal*FactorCambio/C34,"no cubre")</f>
        <v>5.25599848591042</v>
      </c>
      <c r="D35" s="35" t="n">
        <f aca="false">IF(D34&gt;0,FijosTotal*FactorCambio/D34,"no cubre")</f>
        <v>2.87590082732123</v>
      </c>
      <c r="E35" s="10" t="s">
        <v>147</v>
      </c>
    </row>
    <row r="36" customFormat="false" ht="15" hidden="false" customHeight="false" outlineLevel="0" collapsed="false">
      <c r="A36" s="4" t="s">
        <v>148</v>
      </c>
      <c r="B36" s="5"/>
      <c r="C36" s="5"/>
      <c r="D36" s="5"/>
      <c r="E36" s="5"/>
    </row>
    <row r="37" customFormat="false" ht="15" hidden="false" customHeight="false" outlineLevel="0" collapsed="false">
      <c r="A37" s="7" t="s">
        <v>149</v>
      </c>
      <c r="B37" s="14" t="n">
        <v>250</v>
      </c>
      <c r="C37" s="14" t="n">
        <v>500</v>
      </c>
      <c r="D37" s="14" t="n">
        <v>1000</v>
      </c>
      <c r="E37" s="10"/>
    </row>
    <row r="38" customFormat="false" ht="15" hidden="false" customHeight="false" outlineLevel="0" collapsed="false">
      <c r="A38" s="7" t="s">
        <v>150</v>
      </c>
      <c r="B38" s="30" t="n">
        <f aca="false">B37*(CostoIAPorMensaje+CostoTranscripcionPorMensaje)*FactorCambio</f>
        <v>55.20596437332</v>
      </c>
      <c r="C38" s="30" t="n">
        <f aca="false">C37*(CostoIAPorMensaje+CostoTranscripcionPorMensaje)*FactorCambio</f>
        <v>110.41192874664</v>
      </c>
      <c r="D38" s="30" t="n">
        <f aca="false">D37*(CostoIAPorMensaje+CostoTranscripcionPorMensaje)*FactorCambio</f>
        <v>220.82385749328</v>
      </c>
      <c r="E38" s="10"/>
    </row>
    <row r="39" customFormat="false" ht="15" hidden="false" customHeight="false" outlineLevel="0" collapsed="false">
      <c r="A39" s="7" t="s">
        <v>151</v>
      </c>
      <c r="B39" s="30" t="n">
        <f aca="false">IF((1-MargenObjetivo)*FactorNeto&gt;0,CEILING(B38/((1-MargenObjetivo)*FactorNeto),5),0)</f>
        <v>115</v>
      </c>
      <c r="C39" s="30" t="n">
        <f aca="false">IF((1-MargenObjetivo)*FactorNeto&gt;0,CEILING(C38/((1-MargenObjetivo)*FactorNeto),5),0)</f>
        <v>230</v>
      </c>
      <c r="D39" s="30" t="n">
        <f aca="false">IF((1-MargenObjetivo)*FactorNeto&gt;0,CEILING(D38/((1-MargenObjetivo)*FactorNeto),5),0)</f>
        <v>455</v>
      </c>
      <c r="E39" s="1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153</v>
      </c>
      <c r="B1" s="2"/>
      <c r="C1" s="2"/>
    </row>
    <row r="2" customFormat="false" ht="15" hidden="false" customHeight="false" outlineLevel="0" collapsed="false">
      <c r="A2" s="3" t="s">
        <v>154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104</v>
      </c>
      <c r="B4" s="5"/>
      <c r="C4" s="5"/>
    </row>
    <row r="5" customFormat="false" ht="15" hidden="false" customHeight="false" outlineLevel="0" collapsed="false">
      <c r="A5" s="7" t="s">
        <v>155</v>
      </c>
      <c r="B5" s="12" t="n">
        <v>2</v>
      </c>
      <c r="C5" s="9"/>
    </row>
    <row r="6" customFormat="false" ht="15" hidden="false" customHeight="false" outlineLevel="0" collapsed="false">
      <c r="A6" s="7" t="s">
        <v>156</v>
      </c>
      <c r="B6" s="36" t="str">
        <f aca="false">INDEX(Planes!$B$4:$D$4,1,B5)</f>
        <v>Salón</v>
      </c>
      <c r="C6" s="9"/>
    </row>
    <row r="7" customFormat="false" ht="15" hidden="false" customHeight="false" outlineLevel="0" collapsed="false">
      <c r="A7" s="7" t="s">
        <v>157</v>
      </c>
      <c r="B7" s="30" t="n">
        <f aca="false">INDEX(Planes!$B$6:$D$6,1,B5)</f>
        <v>1490</v>
      </c>
      <c r="C7" s="9"/>
    </row>
    <row r="8" customFormat="false" ht="15" hidden="false" customHeight="false" outlineLevel="0" collapsed="false">
      <c r="A8" s="7" t="s">
        <v>158</v>
      </c>
      <c r="B8" s="11" t="n">
        <v>0.1</v>
      </c>
      <c r="C8" s="9" t="s">
        <v>159</v>
      </c>
    </row>
    <row r="9" customFormat="false" ht="15" hidden="false" customHeight="false" outlineLevel="0" collapsed="false">
      <c r="A9" s="28" t="s">
        <v>160</v>
      </c>
      <c r="B9" s="31" t="n">
        <f aca="false">B7*(1-B8)</f>
        <v>1341</v>
      </c>
      <c r="C9" s="9"/>
    </row>
    <row r="10" customFormat="false" ht="15" hidden="false" customHeight="false" outlineLevel="0" collapsed="false">
      <c r="A10" s="7" t="s">
        <v>161</v>
      </c>
      <c r="B10" s="14" t="n">
        <f aca="false">INDEX(Planes!$B$7:$D$7,1,B5)</f>
        <v>1000</v>
      </c>
      <c r="C10" s="9" t="s">
        <v>162</v>
      </c>
    </row>
    <row r="11" customFormat="false" ht="15" hidden="false" customHeight="false" outlineLevel="0" collapsed="false">
      <c r="A11" s="7" t="s">
        <v>163</v>
      </c>
      <c r="B11" s="11" t="n">
        <f aca="false">INDEX(Planes!$B$8:$D$8,1,B5)</f>
        <v>0.6</v>
      </c>
      <c r="C11" s="9"/>
    </row>
    <row r="12" customFormat="false" ht="15" hidden="false" customHeight="false" outlineLevel="0" collapsed="false">
      <c r="A12" s="7" t="s">
        <v>164</v>
      </c>
      <c r="B12" s="14" t="n">
        <f aca="false">INDEX(Planes!$B$9:$D$9,1,B5)</f>
        <v>200</v>
      </c>
      <c r="C12" s="9"/>
    </row>
    <row r="13" customFormat="false" ht="15" hidden="false" customHeight="false" outlineLevel="0" collapsed="false">
      <c r="A13" s="7" t="s">
        <v>165</v>
      </c>
      <c r="B13" s="11" t="n">
        <f aca="false">INDEX(Planes!$B$10:$D$10,1,B5)</f>
        <v>0</v>
      </c>
      <c r="C13" s="9"/>
    </row>
    <row r="14" customFormat="false" ht="15" hidden="false" customHeight="false" outlineLevel="0" collapsed="false">
      <c r="A14" s="7" t="s">
        <v>166</v>
      </c>
      <c r="B14" s="14" t="n">
        <f aca="false">INDEX(Planes!$B$11:$D$11,1,B5)</f>
        <v>20</v>
      </c>
      <c r="C14" s="9"/>
    </row>
    <row r="15" customFormat="false" ht="15" hidden="false" customHeight="false" outlineLevel="0" collapsed="false">
      <c r="A15" s="7" t="s">
        <v>167</v>
      </c>
      <c r="B15" s="15" t="n">
        <f aca="false">INDEX(Planes!$B$12:$D$12,1,B5)</f>
        <v>0.5</v>
      </c>
      <c r="C15" s="9"/>
    </row>
    <row r="16" customFormat="false" ht="15" hidden="false" customHeight="false" outlineLevel="0" collapsed="false">
      <c r="A16" s="7" t="s">
        <v>168</v>
      </c>
      <c r="B16" s="12" t="n">
        <f aca="false">INDEX(Planes!$B$13:$D$13,1,B5)</f>
        <v>1</v>
      </c>
      <c r="C16" s="9"/>
    </row>
    <row r="17" customFormat="false" ht="15" hidden="false" customHeight="false" outlineLevel="0" collapsed="false">
      <c r="A17" s="4" t="s">
        <v>169</v>
      </c>
      <c r="B17" s="5"/>
      <c r="C17" s="5"/>
    </row>
    <row r="18" customFormat="false" ht="15" hidden="false" customHeight="false" outlineLevel="0" collapsed="false">
      <c r="A18" s="7" t="s">
        <v>170</v>
      </c>
      <c r="B18" s="25" t="n">
        <f aca="false">B10*B11</f>
        <v>600</v>
      </c>
      <c r="C18" s="9"/>
    </row>
    <row r="19" customFormat="false" ht="15" hidden="false" customHeight="false" outlineLevel="0" collapsed="false">
      <c r="A19" s="7" t="s">
        <v>171</v>
      </c>
      <c r="B19" s="25" t="n">
        <f aca="false">B18*RespuestasPorMensaje+B12</f>
        <v>776</v>
      </c>
      <c r="C19" s="9"/>
    </row>
    <row r="20" customFormat="false" ht="15" hidden="false" customHeight="false" outlineLevel="0" collapsed="false">
      <c r="A20" s="7" t="s">
        <v>172</v>
      </c>
      <c r="B20" s="27" t="n">
        <f aca="false">B18*(CostoIAPorMensaje+CostoTranscripcionPorMensaje)+MAX(0,B19-GratisPorNumero)*TarifaServicio*(1-B16)+B14*TarifaUtilidad*(1-B16)+B18*RespuestasPorMensaje*B13*CostoVozPorRespuesta</f>
        <v>2.063172</v>
      </c>
      <c r="C20" s="9"/>
    </row>
    <row r="21" customFormat="false" ht="15" hidden="false" customHeight="false" outlineLevel="0" collapsed="false">
      <c r="A21" s="28" t="s">
        <v>173</v>
      </c>
      <c r="B21" s="31" t="n">
        <f aca="false">(B20+FijoPorSalon)*FactorCambio+B15*CostoHoraSoporte</f>
        <v>486.619300095968</v>
      </c>
      <c r="C21" s="9"/>
    </row>
    <row r="22" customFormat="false" ht="15" hidden="false" customHeight="false" outlineLevel="0" collapsed="false">
      <c r="A22" s="7" t="s">
        <v>174</v>
      </c>
      <c r="B22" s="30" t="n">
        <f aca="false">B9*FactorNeto</f>
        <v>1090.98305084746</v>
      </c>
      <c r="C22" s="9"/>
    </row>
    <row r="23" customFormat="false" ht="15" hidden="false" customHeight="false" outlineLevel="0" collapsed="false">
      <c r="A23" s="28" t="s">
        <v>175</v>
      </c>
      <c r="B23" s="31" t="n">
        <f aca="false">B22-B21</f>
        <v>604.36375075149</v>
      </c>
      <c r="C23" s="9"/>
    </row>
    <row r="24" customFormat="false" ht="15" hidden="false" customHeight="false" outlineLevel="0" collapsed="false">
      <c r="A24" s="28" t="s">
        <v>176</v>
      </c>
      <c r="B24" s="37" t="n">
        <f aca="false">IF(B22&gt;0,B23/B22,0)</f>
        <v>0.553962548072612</v>
      </c>
      <c r="C24" s="9"/>
    </row>
    <row r="25" customFormat="false" ht="15" hidden="false" customHeight="false" outlineLevel="0" collapsed="false">
      <c r="A25" s="7" t="s">
        <v>177</v>
      </c>
      <c r="B25" s="30" t="n">
        <f aca="false">B23*12</f>
        <v>7252.36500901788</v>
      </c>
      <c r="C25" s="9"/>
    </row>
    <row r="26" customFormat="false" ht="15" hidden="false" customHeight="false" outlineLevel="0" collapsed="false">
      <c r="A26" s="28" t="s">
        <v>178</v>
      </c>
      <c r="B26" s="38" t="str">
        <f aca="false">IF(B24&gt;=MargenObjetivo,"Sí: cumple el margen objetivo",IF(B23&gt;0,"Deja ganancia, pero bajo el objetivo","No: pierdes dinero"))</f>
        <v>Sí: cumple el margen objetivo</v>
      </c>
      <c r="C26" s="9"/>
    </row>
  </sheetData>
  <dataValidations count="1">
    <dataValidation allowBlank="false" errorStyle="stop" operator="between" showDropDown="false" showErrorMessage="false" showInputMessage="false" sqref="B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179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180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181</v>
      </c>
      <c r="B4" s="4" t="s">
        <v>182</v>
      </c>
      <c r="C4" s="4" t="s">
        <v>183</v>
      </c>
      <c r="D4" s="4" t="s">
        <v>100</v>
      </c>
      <c r="E4" s="4" t="s">
        <v>101</v>
      </c>
      <c r="F4" s="4" t="s">
        <v>102</v>
      </c>
    </row>
    <row r="5" customFormat="false" ht="15" hidden="false" customHeight="false" outlineLevel="0" collapsed="false">
      <c r="A5" s="39" t="s">
        <v>184</v>
      </c>
      <c r="B5" s="40" t="n">
        <v>1</v>
      </c>
      <c r="C5" s="40" t="n">
        <v>1</v>
      </c>
      <c r="D5" s="41" t="n">
        <f aca="false">IF(Planes!B29&gt;0,(Planes!B29-((Planes!B16*$C5+(Planes!B22-Planes!B16+Planes!B23))*FactorCambio*$B5+Planes!B27))/Planes!B29,0)</f>
        <v>0.441187743548212</v>
      </c>
      <c r="E5" s="41" t="n">
        <f aca="false">IF(Planes!C29&gt;0,(Planes!C29-((Planes!C16*$C5+(Planes!C22-Planes!C16+Planes!C23))*FactorCambio*$B5+Planes!C27))/Planes!C29,0)</f>
        <v>0.598566293265351</v>
      </c>
      <c r="F5" s="41" t="n">
        <f aca="false">IF(Planes!D29&gt;0,(Planes!D29-((Planes!D16*$C5+(Planes!D22-Planes!D16+Planes!D23))*FactorCambio*$B5+Planes!D27))/Planes!D29,0)</f>
        <v>0.597577246515754</v>
      </c>
    </row>
    <row r="6" customFormat="false" ht="15" hidden="false" customHeight="false" outlineLevel="0" collapsed="false">
      <c r="A6" s="39" t="s">
        <v>185</v>
      </c>
      <c r="B6" s="40" t="n">
        <v>1.1</v>
      </c>
      <c r="C6" s="40" t="n">
        <v>1</v>
      </c>
      <c r="D6" s="41" t="n">
        <f aca="false">IF(Planes!B29&gt;0,(Planes!B29-((Planes!B16*$C6+(Planes!B22-Planes!B16+Planes!B23))*FactorCambio*$B6+Planes!B27))/Planes!B29,0)</f>
        <v>0.395239177835693</v>
      </c>
      <c r="E6" s="41" t="n">
        <f aca="false">IF(Planes!C29&gt;0,(Planes!C29-((Planes!C16*$C6+(Planes!C22-Planes!C16+Planes!C23))*FactorCambio*$B6+Planes!C27))/Planes!C29,0)</f>
        <v>0.574921804023653</v>
      </c>
      <c r="F6" s="41" t="n">
        <f aca="false">IF(Planes!D29&gt;0,(Planes!D29-((Planes!D16*$C6+(Planes!D22-Planes!D16+Planes!D23))*FactorCambio*$B6+Planes!D27))/Planes!D29,0)</f>
        <v>0.57377867239364</v>
      </c>
    </row>
    <row r="7" customFormat="false" ht="15" hidden="false" customHeight="false" outlineLevel="0" collapsed="false">
      <c r="A7" s="39" t="s">
        <v>186</v>
      </c>
      <c r="B7" s="40" t="n">
        <v>1.2</v>
      </c>
      <c r="C7" s="40" t="n">
        <v>1</v>
      </c>
      <c r="D7" s="41" t="n">
        <f aca="false">IF(Planes!B29&gt;0,(Planes!B29-((Planes!B16*$C7+(Planes!B22-Planes!B16+Planes!B23))*FactorCambio*$B7+Planes!B27))/Planes!B29,0)</f>
        <v>0.349290612123174</v>
      </c>
      <c r="E7" s="41" t="n">
        <f aca="false">IF(Planes!C29&gt;0,(Planes!C29-((Planes!C16*$C7+(Planes!C22-Planes!C16+Planes!C23))*FactorCambio*$B7+Planes!C27))/Planes!C29,0)</f>
        <v>0.551277314781956</v>
      </c>
      <c r="F7" s="41" t="n">
        <f aca="false">IF(Planes!D29&gt;0,(Planes!D29-((Planes!D16*$C7+(Planes!D22-Planes!D16+Planes!D23))*FactorCambio*$B7+Planes!D27))/Planes!D29,0)</f>
        <v>0.549980098271525</v>
      </c>
    </row>
    <row r="8" customFormat="false" ht="15" hidden="false" customHeight="false" outlineLevel="0" collapsed="false">
      <c r="A8" s="39" t="s">
        <v>187</v>
      </c>
      <c r="B8" s="40" t="n">
        <v>1</v>
      </c>
      <c r="C8" s="40" t="n">
        <v>2</v>
      </c>
      <c r="D8" s="41" t="n">
        <f aca="false">IF(Planes!B29&gt;0,(Planes!B29-((Planes!B16*$C8+(Planes!B22-Planes!B16+Planes!B23))*FactorCambio*$B8+Planes!B27))/Planes!B29,0)</f>
        <v>0.368550016267568</v>
      </c>
      <c r="E8" s="41" t="n">
        <f aca="false">IF(Planes!C29&gt;0,(Planes!C29-((Planes!C16*$C8+(Planes!C22-Planes!C16+Planes!C23))*FactorCambio*$B8+Planes!C27))/Planes!C29,0)</f>
        <v>0.495146326811127</v>
      </c>
      <c r="F8" s="41" t="n">
        <f aca="false">IF(Planes!D29&gt;0,(Planes!D29-((Planes!D16*$C8+(Planes!D22-Planes!D16+Planes!D23))*FactorCambio*$B8+Planes!D27))/Planes!D29,0)</f>
        <v>0.494503166236962</v>
      </c>
    </row>
    <row r="9" customFormat="false" ht="15" hidden="false" customHeight="false" outlineLevel="0" collapsed="false">
      <c r="A9" s="39" t="s">
        <v>188</v>
      </c>
      <c r="B9" s="40" t="n">
        <v>1</v>
      </c>
      <c r="C9" s="40" t="n">
        <v>1.55</v>
      </c>
      <c r="D9" s="41" t="n">
        <f aca="false">IF(Planes!B29&gt;0,(Planes!B29-((Planes!B16*$C9+(Planes!B22-Planes!B16+Planes!B23))*FactorCambio*$B9+Planes!B27))/Planes!B29,0)</f>
        <v>0.401236993543858</v>
      </c>
      <c r="E9" s="41" t="n">
        <f aca="false">IF(Planes!C29&gt;0,(Planes!C29-((Planes!C16*$C9+(Planes!C22-Planes!C16+Planes!C23))*FactorCambio*$B9+Planes!C27))/Planes!C29,0)</f>
        <v>0.541685311715528</v>
      </c>
      <c r="F9" s="41" t="n">
        <f aca="false">IF(Planes!D29&gt;0,(Planes!D29-((Planes!D16*$C9+(Planes!D22-Planes!D16+Planes!D23))*FactorCambio*$B9+Planes!D27))/Planes!D29,0)</f>
        <v>0.540886502362419</v>
      </c>
    </row>
    <row r="10" customFormat="false" ht="15" hidden="false" customHeight="false" outlineLevel="0" collapsed="false">
      <c r="A10" s="39" t="s">
        <v>189</v>
      </c>
      <c r="B10" s="40" t="n">
        <v>1.2</v>
      </c>
      <c r="C10" s="40" t="n">
        <v>2</v>
      </c>
      <c r="D10" s="41" t="n">
        <f aca="false">IF(Planes!B29&gt;0,(Planes!B29-((Planes!B16*$C10+(Planes!B22-Planes!B16+Planes!B23))*FactorCambio*$B10+Planes!B27))/Planes!B29,0)</f>
        <v>0.262125339386402</v>
      </c>
      <c r="E10" s="41" t="n">
        <f aca="false">IF(Planes!C29&gt;0,(Planes!C29-((Planes!C16*$C10+(Planes!C22-Planes!C16+Planes!C23))*FactorCambio*$B10+Planes!C27))/Planes!C29,0)</f>
        <v>0.427173355036887</v>
      </c>
      <c r="F10" s="41" t="n">
        <f aca="false">IF(Planes!D29&gt;0,(Planes!D29-((Planes!D16*$C10+(Planes!D22-Planes!D16+Planes!D23))*FactorCambio*$B10+Planes!D27))/Planes!D29,0)</f>
        <v>0.426291201936975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30"/>
  </cols>
  <sheetData>
    <row r="1" customFormat="false" ht="17.35" hidden="false" customHeight="false" outlineLevel="0" collapsed="false">
      <c r="A1" s="1" t="s">
        <v>190</v>
      </c>
      <c r="B1" s="2"/>
      <c r="C1" s="2"/>
      <c r="D1" s="2"/>
    </row>
    <row r="2" customFormat="false" ht="15" hidden="false" customHeight="false" outlineLevel="0" collapsed="false">
      <c r="A2" s="3" t="s">
        <v>191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192</v>
      </c>
      <c r="B4" s="4" t="s">
        <v>100</v>
      </c>
      <c r="C4" s="4" t="s">
        <v>101</v>
      </c>
      <c r="D4" s="4" t="s">
        <v>102</v>
      </c>
    </row>
    <row r="5" customFormat="false" ht="15" hidden="false" customHeight="false" outlineLevel="0" collapsed="false">
      <c r="A5" s="42" t="s">
        <v>193</v>
      </c>
      <c r="B5" s="43" t="s">
        <v>194</v>
      </c>
      <c r="C5" s="43" t="s">
        <v>195</v>
      </c>
      <c r="D5" s="43" t="s">
        <v>196</v>
      </c>
    </row>
    <row r="6" customFormat="false" ht="15" hidden="false" customHeight="false" outlineLevel="0" collapsed="false">
      <c r="A6" s="42" t="s">
        <v>197</v>
      </c>
      <c r="B6" s="44" t="n">
        <f aca="false">Planes!B6</f>
        <v>495</v>
      </c>
      <c r="C6" s="44" t="n">
        <f aca="false">Planes!C6</f>
        <v>1490</v>
      </c>
      <c r="D6" s="44" t="n">
        <f aca="false">Planes!D6</f>
        <v>2990</v>
      </c>
    </row>
    <row r="7" customFormat="false" ht="15" hidden="false" customHeight="false" outlineLevel="0" collapsed="false">
      <c r="A7" s="42" t="s">
        <v>198</v>
      </c>
      <c r="B7" s="45" t="n">
        <f aca="false">Planes!B7</f>
        <v>200</v>
      </c>
      <c r="C7" s="45" t="n">
        <f aca="false">Planes!C7</f>
        <v>1000</v>
      </c>
      <c r="D7" s="45" t="n">
        <f aca="false">Planes!D7</f>
        <v>2000</v>
      </c>
    </row>
    <row r="8" customFormat="false" ht="15" hidden="false" customHeight="false" outlineLevel="0" collapsed="false">
      <c r="A8" s="42" t="s">
        <v>199</v>
      </c>
      <c r="B8" s="43" t="s">
        <v>200</v>
      </c>
      <c r="C8" s="43" t="s">
        <v>200</v>
      </c>
      <c r="D8" s="43" t="s">
        <v>200</v>
      </c>
    </row>
    <row r="9" customFormat="false" ht="15" hidden="false" customHeight="false" outlineLevel="0" collapsed="false">
      <c r="A9" s="42" t="s">
        <v>201</v>
      </c>
      <c r="B9" s="43" t="s">
        <v>200</v>
      </c>
      <c r="C9" s="43" t="s">
        <v>200</v>
      </c>
      <c r="D9" s="43" t="s">
        <v>200</v>
      </c>
    </row>
    <row r="10" customFormat="false" ht="15" hidden="false" customHeight="false" outlineLevel="0" collapsed="false">
      <c r="A10" s="42" t="s">
        <v>202</v>
      </c>
      <c r="B10" s="43" t="s">
        <v>200</v>
      </c>
      <c r="C10" s="43" t="s">
        <v>200</v>
      </c>
      <c r="D10" s="43" t="s">
        <v>200</v>
      </c>
    </row>
    <row r="11" customFormat="false" ht="15" hidden="false" customHeight="false" outlineLevel="0" collapsed="false">
      <c r="A11" s="42" t="s">
        <v>203</v>
      </c>
      <c r="B11" s="43" t="s">
        <v>200</v>
      </c>
      <c r="C11" s="43" t="s">
        <v>200</v>
      </c>
      <c r="D11" s="43" t="s">
        <v>200</v>
      </c>
    </row>
    <row r="12" customFormat="false" ht="15" hidden="false" customHeight="false" outlineLevel="0" collapsed="false">
      <c r="A12" s="42" t="s">
        <v>204</v>
      </c>
      <c r="B12" s="43" t="s">
        <v>200</v>
      </c>
      <c r="C12" s="43" t="s">
        <v>200</v>
      </c>
      <c r="D12" s="43" t="s">
        <v>200</v>
      </c>
    </row>
    <row r="13" customFormat="false" ht="15" hidden="false" customHeight="false" outlineLevel="0" collapsed="false">
      <c r="A13" s="42" t="s">
        <v>205</v>
      </c>
      <c r="B13" s="43" t="s">
        <v>206</v>
      </c>
      <c r="C13" s="43" t="s">
        <v>200</v>
      </c>
      <c r="D13" s="43" t="s">
        <v>200</v>
      </c>
    </row>
    <row r="14" customFormat="false" ht="15" hidden="false" customHeight="false" outlineLevel="0" collapsed="false">
      <c r="A14" s="42" t="s">
        <v>207</v>
      </c>
      <c r="B14" s="43" t="s">
        <v>206</v>
      </c>
      <c r="C14" s="43" t="s">
        <v>200</v>
      </c>
      <c r="D14" s="43" t="s">
        <v>200</v>
      </c>
    </row>
    <row r="15" customFormat="false" ht="15" hidden="false" customHeight="false" outlineLevel="0" collapsed="false">
      <c r="A15" s="42" t="s">
        <v>208</v>
      </c>
      <c r="B15" s="43" t="s">
        <v>206</v>
      </c>
      <c r="C15" s="43" t="s">
        <v>200</v>
      </c>
      <c r="D15" s="43" t="s">
        <v>200</v>
      </c>
    </row>
    <row r="16" customFormat="false" ht="15" hidden="false" customHeight="false" outlineLevel="0" collapsed="false">
      <c r="A16" s="42" t="s">
        <v>209</v>
      </c>
      <c r="B16" s="43" t="s">
        <v>206</v>
      </c>
      <c r="C16" s="43" t="s">
        <v>200</v>
      </c>
      <c r="D16" s="43" t="s">
        <v>200</v>
      </c>
    </row>
    <row r="17" customFormat="false" ht="15" hidden="false" customHeight="false" outlineLevel="0" collapsed="false">
      <c r="A17" s="42" t="s">
        <v>210</v>
      </c>
      <c r="B17" s="43" t="s">
        <v>211</v>
      </c>
      <c r="C17" s="43" t="s">
        <v>212</v>
      </c>
      <c r="D17" s="43" t="s">
        <v>212</v>
      </c>
    </row>
    <row r="18" customFormat="false" ht="15" hidden="false" customHeight="false" outlineLevel="0" collapsed="false">
      <c r="A18" s="42" t="s">
        <v>213</v>
      </c>
      <c r="B18" s="43" t="s">
        <v>206</v>
      </c>
      <c r="C18" s="43" t="s">
        <v>200</v>
      </c>
      <c r="D18" s="43" t="s">
        <v>200</v>
      </c>
    </row>
    <row r="19" customFormat="false" ht="15" hidden="false" customHeight="false" outlineLevel="0" collapsed="false">
      <c r="A19" s="42" t="s">
        <v>165</v>
      </c>
      <c r="B19" s="43" t="s">
        <v>206</v>
      </c>
      <c r="C19" s="43" t="s">
        <v>206</v>
      </c>
      <c r="D19" s="43" t="s">
        <v>200</v>
      </c>
    </row>
    <row r="20" customFormat="false" ht="15" hidden="false" customHeight="false" outlineLevel="0" collapsed="false">
      <c r="A20" s="42" t="s">
        <v>214</v>
      </c>
      <c r="B20" s="43" t="s">
        <v>206</v>
      </c>
      <c r="C20" s="43" t="s">
        <v>206</v>
      </c>
      <c r="D20" s="43" t="s">
        <v>200</v>
      </c>
    </row>
    <row r="21" customFormat="false" ht="15" hidden="false" customHeight="false" outlineLevel="0" collapsed="false">
      <c r="A21" s="42" t="s">
        <v>215</v>
      </c>
      <c r="B21" s="43" t="s">
        <v>216</v>
      </c>
      <c r="C21" s="43" t="s">
        <v>217</v>
      </c>
      <c r="D21" s="43" t="s">
        <v>218</v>
      </c>
    </row>
    <row r="22" customFormat="false" ht="15" hidden="false" customHeight="false" outlineLevel="0" collapsed="false">
      <c r="A22" s="42" t="s">
        <v>219</v>
      </c>
      <c r="B22" s="43" t="s">
        <v>220</v>
      </c>
      <c r="C22" s="43" t="s">
        <v>220</v>
      </c>
      <c r="D22" s="43" t="s">
        <v>221</v>
      </c>
    </row>
    <row r="23" customFormat="false" ht="15" hidden="false" customHeight="false" outlineLevel="0" collapsed="false">
      <c r="A23" s="42" t="s">
        <v>136</v>
      </c>
      <c r="B23" s="43" t="s">
        <v>222</v>
      </c>
      <c r="C23" s="43" t="s">
        <v>222</v>
      </c>
      <c r="D23" s="4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224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9" t="s">
        <v>225</v>
      </c>
      <c r="B3" s="46" t="s">
        <v>226</v>
      </c>
    </row>
    <row r="4" customFormat="false" ht="15" hidden="false" customHeight="false" outlineLevel="0" collapsed="false">
      <c r="A4" s="39" t="s">
        <v>227</v>
      </c>
      <c r="B4" s="46" t="s">
        <v>228</v>
      </c>
    </row>
    <row r="5" customFormat="false" ht="15" hidden="false" customHeight="false" outlineLevel="0" collapsed="false">
      <c r="A5" s="39" t="s">
        <v>229</v>
      </c>
      <c r="B5" s="46" t="s">
        <v>230</v>
      </c>
    </row>
    <row r="6" customFormat="false" ht="15" hidden="false" customHeight="false" outlineLevel="0" collapsed="false">
      <c r="A6" s="39" t="s">
        <v>231</v>
      </c>
      <c r="B6" s="46" t="s">
        <v>232</v>
      </c>
    </row>
    <row r="7" customFormat="false" ht="15" hidden="false" customHeight="false" outlineLevel="0" collapsed="false">
      <c r="A7" s="39" t="s">
        <v>233</v>
      </c>
      <c r="B7" s="46" t="s">
        <v>234</v>
      </c>
    </row>
    <row r="8" customFormat="false" ht="15" hidden="false" customHeight="false" outlineLevel="0" collapsed="false">
      <c r="A8" s="39" t="s">
        <v>235</v>
      </c>
      <c r="B8" s="46" t="s">
        <v>236</v>
      </c>
    </row>
    <row r="9" customFormat="false" ht="15" hidden="false" customHeight="false" outlineLevel="0" collapsed="false">
      <c r="A9" s="39" t="s">
        <v>237</v>
      </c>
      <c r="B9" s="46" t="s">
        <v>238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6" t="s">
        <v>239</v>
      </c>
      <c r="B11" s="2"/>
    </row>
    <row r="12" customFormat="false" ht="15" hidden="false" customHeight="false" outlineLevel="0" collapsed="false">
      <c r="A12" s="3" t="s">
        <v>240</v>
      </c>
      <c r="B12" s="2"/>
    </row>
  </sheetData>
  <hyperlinks>
    <hyperlink ref="B3" r:id="rId1" display="https://acento.com.do/economia/precio-del-dolar-hoy-en-republica-dominicana-tasa-de-compra-y-venta-este-jueves-24-de-septiembre-de-2026-9758215.html"/>
    <hyperlink ref="B4" r:id="rId2" display="https://openrouter.ai/openai/gpt-4.1-mini"/>
    <hyperlink ref="B5" r:id="rId3" display="https://developers.facebook.com/documentation/business-messaging/whatsapp/pricing"/>
    <hyperlink ref="B6" r:id="rId4" display="https://360dialog.com/blog/whatsapp-service-message-charging-october-2026/"/>
    <hyperlink ref="B7" r:id="rId5" display="https://console.groq.com/docs/model/whisper-large-v3"/>
    <hyperlink ref="B8" r:id="rId6" display="https://texttolab.com/blog/elevenlabs-pricing"/>
    <hyperlink ref="B9" r:id="rId7" display="https://docs.railway.com/pricing/pla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2026-09-26T18:13:34Z</dcterms:created>
  <dc:creator>openpyxl</dc:creator>
  <dc:description/>
  <dc:language>en-US</dc:language>
  <cp:lastModifiedBy/>
  <dcterms:modified xsi:type="dcterms:W3CDTF">2026-09-26T18:13:34Z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
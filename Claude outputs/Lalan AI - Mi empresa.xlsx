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fe0\OneDrive\Documents\GitHub\Lalan-Ai-Front\Claude outputs\"/>
    </mc:Choice>
  </mc:AlternateContent>
  <xr:revisionPtr revIDLastSave="0" documentId="13_ncr:1_{AFEC9711-DAC6-4B19-8EF6-751BC40C9396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Empieza aquí" sheetId="1" r:id="rId1"/>
    <sheet name="Resumen" sheetId="2" r:id="rId2"/>
    <sheet name="Mi empresa" sheetId="3" r:id="rId3"/>
    <sheet name="Planes" sheetId="4" r:id="rId4"/>
    <sheet name="Supuestos" sheetId="5" r:id="rId5"/>
    <sheet name="Negociación" sheetId="6" r:id="rId6"/>
    <sheet name="Sensibilidad" sheetId="7" r:id="rId7"/>
    <sheet name="Qué incluye" sheetId="8" r:id="rId8"/>
    <sheet name="Fuentes" sheetId="9" r:id="rId9"/>
  </sheets>
  <definedNames>
    <definedName name="AsistenteDesdeSalones">Supuestos!$B$72</definedName>
    <definedName name="CapitalInicial">Supuestos!$B$63</definedName>
    <definedName name="CaracteresPorRespuesta">Supuestos!$B$41</definedName>
    <definedName name="CargasSociales">Supuestos!$B$74</definedName>
    <definedName name="CobroInstalacion">Supuestos!$B$64</definedName>
    <definedName name="Colchon">Supuestos!$B$7</definedName>
    <definedName name="ComisionCobro">Supuestos!$B$10</definedName>
    <definedName name="ComisionOpenRouter">Supuestos!$B$22</definedName>
    <definedName name="CompraEquipo">Supuestos!$B$84</definedName>
    <definedName name="Contador">Supuestos!$B$79</definedName>
    <definedName name="CostoHoraSoporte">Supuestos!$B$50</definedName>
    <definedName name="CostoIAPorMensaje">Supuestos!$B$23</definedName>
    <definedName name="CostoTranscripcionPorMensaje">Supuestos!$B$30</definedName>
    <definedName name="CostoVozPorRespuesta">Supuestos!$B$42</definedName>
    <definedName name="CostoYouTube">Supuestos!$B$57</definedName>
    <definedName name="CuotaYouTube">Supuestos!$B$58</definedName>
    <definedName name="FactorCambio">Supuestos!$B$53</definedName>
    <definedName name="FactorNeto">Supuestos!$B$54</definedName>
    <definedName name="FijoN8n">Supuestos!$B$46</definedName>
    <definedName name="FijoOtros">Supuestos!$B$48</definedName>
    <definedName name="FijoPorSalon">Supuestos!$B$52</definedName>
    <definedName name="FijoServidor">Supuestos!$B$45</definedName>
    <definedName name="FijosTotal">Supuestos!$B$51</definedName>
    <definedName name="FijoVoz">Supuestos!$B$47</definedName>
    <definedName name="GratisPorNumero">Supuestos!$B$34</definedName>
    <definedName name="HerramientasUSD">Supuestos!$B$83</definedName>
    <definedName name="IncluirAsistente">Supuestos!$B$70</definedName>
    <definedName name="IncluirCargas">Supuestos!$B$73</definedName>
    <definedName name="IncluirContador">Supuestos!$B$78</definedName>
    <definedName name="IncluirHerramientas">Supuestos!$B$82</definedName>
    <definedName name="IncluirISR">Supuestos!$B$80</definedName>
    <definedName name="IncluirPublicidad">Supuestos!$B$75</definedName>
    <definedName name="IncluirSueldo">Supuestos!$B$67</definedName>
    <definedName name="IncluyeITBIS">Supuestos!$B$9</definedName>
    <definedName name="ITBIS">Supuestos!$B$8</definedName>
    <definedName name="LlamadasPorMensaje">Supuestos!$B$19</definedName>
    <definedName name="MargenObjetivo">Supuestos!$B$11</definedName>
    <definedName name="MensajesPorRespuesta">Supuestos!$B$36</definedName>
    <definedName name="MensualidadesComision">Supuestos!$B$77</definedName>
    <definedName name="MesEquipo">Supuestos!$B$85</definedName>
    <definedName name="MinimoSegundos">Supuestos!$B$28</definedName>
    <definedName name="PorcAgrupados">Supuestos!$B$21</definedName>
    <definedName name="PorcCache">Supuestos!$B$20</definedName>
    <definedName name="PorcNotasVoz">Supuestos!$B$29</definedName>
    <definedName name="PrecioCache">Supuestos!$B$16</definedName>
    <definedName name="PrecioEntrada">Supuestos!$B$14</definedName>
    <definedName name="PrecioSalida">Supuestos!$B$15</definedName>
    <definedName name="PrecioTranscripcion">Supuestos!$B$26</definedName>
    <definedName name="PrecioVoz">Supuestos!$B$40</definedName>
    <definedName name="PrimerMes">Supuestos!$B$62</definedName>
    <definedName name="PublicidadMensual">Supuestos!$B$76</definedName>
    <definedName name="RespuestasPorMensaje">Supuestos!$B$37</definedName>
    <definedName name="SalonesActivos">Supuestos!$B$49</definedName>
    <definedName name="SegundosNota">Supuestos!$B$27</definedName>
    <definedName name="SueldoAsistente">Supuestos!$B$71</definedName>
    <definedName name="TarifaServicio">Supuestos!$B$33</definedName>
    <definedName name="TarifaUtilidad">Supuestos!$B$35</definedName>
    <definedName name="TasaISR">Supuestos!$B$81</definedName>
    <definedName name="TasaUSD">Supuestos!$B$6</definedName>
    <definedName name="TokensEntrada">Supuestos!$B$17</definedName>
    <definedName name="TokensSalida">Supuestos!$B$18</definedName>
    <definedName name="TuSueldo">Supuestos!$B$68</definedName>
    <definedName name="TuSueldoDesdeMes">Supuestos!$B$69</definedName>
    <definedName name="UnidadesPorBusqueda">Supuestos!$B$59</definedName>
  </definedNames>
  <calcPr calcId="18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8" l="1"/>
  <c r="C7" i="8"/>
  <c r="B7" i="8"/>
  <c r="D6" i="8"/>
  <c r="C6" i="8"/>
  <c r="B6" i="8"/>
  <c r="B16" i="6"/>
  <c r="B15" i="6"/>
  <c r="B14" i="6"/>
  <c r="B13" i="6"/>
  <c r="B12" i="6"/>
  <c r="B11" i="6"/>
  <c r="B10" i="6"/>
  <c r="B18" i="6" s="1"/>
  <c r="B7" i="6"/>
  <c r="B9" i="6" s="1"/>
  <c r="B22" i="6" s="1"/>
  <c r="B6" i="6"/>
  <c r="B54" i="5"/>
  <c r="B53" i="5"/>
  <c r="B51" i="5"/>
  <c r="B42" i="5"/>
  <c r="C22" i="4" s="1"/>
  <c r="B37" i="5"/>
  <c r="B30" i="5"/>
  <c r="C18" i="4" s="1"/>
  <c r="B23" i="5"/>
  <c r="D40" i="4" s="1"/>
  <c r="C31" i="4"/>
  <c r="B31" i="4"/>
  <c r="D29" i="4"/>
  <c r="C29" i="4"/>
  <c r="B29" i="4"/>
  <c r="B22" i="4"/>
  <c r="D21" i="4"/>
  <c r="C21" i="4"/>
  <c r="B21" i="4"/>
  <c r="C19" i="4"/>
  <c r="C20" i="4" s="1"/>
  <c r="D17" i="4"/>
  <c r="D16" i="4"/>
  <c r="D19" i="4" s="1"/>
  <c r="D20" i="4" s="1"/>
  <c r="C16" i="4"/>
  <c r="C17" i="4" s="1"/>
  <c r="C23" i="4" s="1"/>
  <c r="B16" i="4"/>
  <c r="B19" i="4" s="1"/>
  <c r="B20" i="4" s="1"/>
  <c r="N50" i="3"/>
  <c r="M50" i="3"/>
  <c r="L50" i="3"/>
  <c r="K50" i="3"/>
  <c r="J50" i="3"/>
  <c r="I50" i="3"/>
  <c r="H50" i="3"/>
  <c r="G50" i="3"/>
  <c r="F50" i="3"/>
  <c r="E50" i="3"/>
  <c r="D50" i="3"/>
  <c r="B50" i="3" s="1"/>
  <c r="C50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 s="1"/>
  <c r="N48" i="3"/>
  <c r="M48" i="3"/>
  <c r="L48" i="3"/>
  <c r="K48" i="3"/>
  <c r="J48" i="3"/>
  <c r="I48" i="3"/>
  <c r="H48" i="3"/>
  <c r="G48" i="3"/>
  <c r="F48" i="3"/>
  <c r="E48" i="3"/>
  <c r="D48" i="3"/>
  <c r="C48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 s="1"/>
  <c r="B21" i="2" s="1"/>
  <c r="N46" i="3"/>
  <c r="M46" i="3"/>
  <c r="L46" i="3"/>
  <c r="K46" i="3"/>
  <c r="J46" i="3"/>
  <c r="I46" i="3"/>
  <c r="H46" i="3"/>
  <c r="G46" i="3"/>
  <c r="F46" i="3"/>
  <c r="E46" i="3"/>
  <c r="D46" i="3"/>
  <c r="C46" i="3"/>
  <c r="B46" i="3" s="1"/>
  <c r="N43" i="3"/>
  <c r="M43" i="3"/>
  <c r="L43" i="3"/>
  <c r="K43" i="3"/>
  <c r="J43" i="3"/>
  <c r="I43" i="3"/>
  <c r="H43" i="3"/>
  <c r="G43" i="3"/>
  <c r="F43" i="3"/>
  <c r="E43" i="3"/>
  <c r="D43" i="3"/>
  <c r="C43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 s="1"/>
  <c r="N38" i="3"/>
  <c r="M38" i="3"/>
  <c r="L38" i="3"/>
  <c r="K38" i="3"/>
  <c r="J38" i="3"/>
  <c r="I38" i="3"/>
  <c r="B38" i="3" s="1"/>
  <c r="H38" i="3"/>
  <c r="G38" i="3"/>
  <c r="F38" i="3"/>
  <c r="E38" i="3"/>
  <c r="D38" i="3"/>
  <c r="C38" i="3"/>
  <c r="C37" i="3"/>
  <c r="N36" i="3"/>
  <c r="M36" i="3"/>
  <c r="L36" i="3"/>
  <c r="K36" i="3"/>
  <c r="J36" i="3"/>
  <c r="I36" i="3"/>
  <c r="H36" i="3"/>
  <c r="G36" i="3"/>
  <c r="F36" i="3"/>
  <c r="E36" i="3"/>
  <c r="D36" i="3"/>
  <c r="C36" i="3"/>
  <c r="C40" i="3" s="1"/>
  <c r="N23" i="3"/>
  <c r="M23" i="3"/>
  <c r="L23" i="3"/>
  <c r="K23" i="3"/>
  <c r="J23" i="3"/>
  <c r="I23" i="3"/>
  <c r="H23" i="3"/>
  <c r="G23" i="3"/>
  <c r="F23" i="3"/>
  <c r="E23" i="3"/>
  <c r="D23" i="3"/>
  <c r="C23" i="3"/>
  <c r="B23" i="3" s="1"/>
  <c r="C16" i="3"/>
  <c r="C22" i="3" s="1"/>
  <c r="C15" i="3"/>
  <c r="C14" i="3"/>
  <c r="D14" i="3" s="1"/>
  <c r="B13" i="3"/>
  <c r="B12" i="3"/>
  <c r="B11" i="3"/>
  <c r="B10" i="3"/>
  <c r="B9" i="3"/>
  <c r="B8" i="3"/>
  <c r="N4" i="3"/>
  <c r="A39" i="2" s="1"/>
  <c r="M4" i="3"/>
  <c r="A38" i="2" s="1"/>
  <c r="L4" i="3"/>
  <c r="A37" i="2" s="1"/>
  <c r="K4" i="3"/>
  <c r="A36" i="2" s="1"/>
  <c r="J4" i="3"/>
  <c r="A35" i="2" s="1"/>
  <c r="I4" i="3"/>
  <c r="A34" i="2" s="1"/>
  <c r="H4" i="3"/>
  <c r="A33" i="2" s="1"/>
  <c r="G4" i="3"/>
  <c r="A32" i="2" s="1"/>
  <c r="F4" i="3"/>
  <c r="A31" i="2" s="1"/>
  <c r="E4" i="3"/>
  <c r="A30" i="2" s="1"/>
  <c r="D4" i="3"/>
  <c r="C4" i="3"/>
  <c r="A28" i="2" s="1"/>
  <c r="A29" i="2"/>
  <c r="C17" i="1"/>
  <c r="C16" i="1"/>
  <c r="B48" i="3" l="1"/>
  <c r="B22" i="2" s="1"/>
  <c r="D20" i="3"/>
  <c r="E14" i="3"/>
  <c r="D41" i="4"/>
  <c r="C36" i="4"/>
  <c r="C37" i="4" s="1"/>
  <c r="C27" i="4"/>
  <c r="C31" i="3"/>
  <c r="B20" i="6"/>
  <c r="B19" i="6"/>
  <c r="D15" i="3"/>
  <c r="D16" i="3"/>
  <c r="C17" i="3"/>
  <c r="B36" i="3"/>
  <c r="C20" i="3"/>
  <c r="B17" i="4"/>
  <c r="B23" i="4" s="1"/>
  <c r="B36" i="4" s="1"/>
  <c r="B37" i="4" s="1"/>
  <c r="B40" i="4"/>
  <c r="B41" i="4" s="1"/>
  <c r="C21" i="3"/>
  <c r="C40" i="4"/>
  <c r="C41" i="4" s="1"/>
  <c r="B18" i="4"/>
  <c r="B43" i="3"/>
  <c r="D18" i="4"/>
  <c r="D23" i="4" s="1"/>
  <c r="D22" i="4"/>
  <c r="D31" i="4"/>
  <c r="C63" i="3"/>
  <c r="C64" i="3" s="1"/>
  <c r="D63" i="3" l="1"/>
  <c r="D64" i="3" s="1"/>
  <c r="D27" i="4"/>
  <c r="C32" i="3" s="1"/>
  <c r="D21" i="3"/>
  <c r="E15" i="3"/>
  <c r="D31" i="3"/>
  <c r="D36" i="4"/>
  <c r="D37" i="4" s="1"/>
  <c r="C44" i="3"/>
  <c r="B28" i="2"/>
  <c r="D22" i="3"/>
  <c r="D37" i="3"/>
  <c r="E16" i="3"/>
  <c r="D32" i="3"/>
  <c r="B27" i="4"/>
  <c r="C19" i="1"/>
  <c r="C18" i="1"/>
  <c r="C24" i="3"/>
  <c r="E20" i="3"/>
  <c r="F14" i="3"/>
  <c r="E30" i="3"/>
  <c r="D17" i="3"/>
  <c r="C45" i="3" l="1"/>
  <c r="D24" i="3"/>
  <c r="E22" i="3"/>
  <c r="E37" i="3"/>
  <c r="E40" i="3" s="1"/>
  <c r="F16" i="3"/>
  <c r="E32" i="3"/>
  <c r="E21" i="3"/>
  <c r="E24" i="3" s="1"/>
  <c r="F15" i="3"/>
  <c r="E31" i="3"/>
  <c r="C25" i="3"/>
  <c r="C26" i="3" s="1"/>
  <c r="E63" i="3"/>
  <c r="E64" i="3" s="1"/>
  <c r="D40" i="3"/>
  <c r="B29" i="2"/>
  <c r="D44" i="3"/>
  <c r="F20" i="3"/>
  <c r="G14" i="3"/>
  <c r="F30" i="3"/>
  <c r="E17" i="3"/>
  <c r="D30" i="3"/>
  <c r="D33" i="3" s="1"/>
  <c r="C30" i="3"/>
  <c r="F63" i="3" l="1"/>
  <c r="F64" i="3" s="1"/>
  <c r="E25" i="3"/>
  <c r="E33" i="3"/>
  <c r="C33" i="3"/>
  <c r="G20" i="3"/>
  <c r="H14" i="3"/>
  <c r="G30" i="3"/>
  <c r="C51" i="3"/>
  <c r="F22" i="3"/>
  <c r="F37" i="3"/>
  <c r="F40" i="3" s="1"/>
  <c r="G16" i="3"/>
  <c r="F32" i="3"/>
  <c r="F17" i="3"/>
  <c r="C27" i="3"/>
  <c r="E44" i="3"/>
  <c r="B30" i="2"/>
  <c r="D25" i="3"/>
  <c r="D45" i="3"/>
  <c r="D51" i="3" s="1"/>
  <c r="D54" i="3" s="1"/>
  <c r="D29" i="2" s="1"/>
  <c r="F21" i="3"/>
  <c r="F24" i="3" s="1"/>
  <c r="G15" i="3"/>
  <c r="G17" i="3" s="1"/>
  <c r="F31" i="3"/>
  <c r="F33" i="3" s="1"/>
  <c r="B32" i="2" l="1"/>
  <c r="G44" i="3"/>
  <c r="H20" i="3"/>
  <c r="I14" i="3"/>
  <c r="H30" i="3"/>
  <c r="D26" i="3"/>
  <c r="G22" i="3"/>
  <c r="G37" i="3"/>
  <c r="G40" i="3" s="1"/>
  <c r="H16" i="3"/>
  <c r="G32" i="3"/>
  <c r="D27" i="3"/>
  <c r="G63" i="3"/>
  <c r="G64" i="3" s="1"/>
  <c r="C28" i="2"/>
  <c r="F25" i="3"/>
  <c r="E45" i="3"/>
  <c r="G21" i="3"/>
  <c r="G24" i="3" s="1"/>
  <c r="H15" i="3"/>
  <c r="G31" i="3"/>
  <c r="G33" i="3" s="1"/>
  <c r="F44" i="3"/>
  <c r="B31" i="2"/>
  <c r="E26" i="3"/>
  <c r="E27" i="3" s="1"/>
  <c r="C54" i="3"/>
  <c r="C55" i="3" s="1"/>
  <c r="C56" i="3" l="1"/>
  <c r="C30" i="2"/>
  <c r="E51" i="3"/>
  <c r="G25" i="3"/>
  <c r="G26" i="3" s="1"/>
  <c r="F26" i="3"/>
  <c r="F27" i="3" s="1"/>
  <c r="H22" i="3"/>
  <c r="H37" i="3"/>
  <c r="H40" i="3" s="1"/>
  <c r="I16" i="3"/>
  <c r="H32" i="3"/>
  <c r="H33" i="3" s="1"/>
  <c r="F45" i="3"/>
  <c r="F51" i="3" s="1"/>
  <c r="F54" i="3" s="1"/>
  <c r="D31" i="2" s="1"/>
  <c r="H24" i="3"/>
  <c r="C29" i="2"/>
  <c r="D55" i="3"/>
  <c r="D28" i="2"/>
  <c r="G45" i="3"/>
  <c r="G51" i="3" s="1"/>
  <c r="G54" i="3" s="1"/>
  <c r="D32" i="2" s="1"/>
  <c r="H21" i="3"/>
  <c r="I15" i="3"/>
  <c r="I63" i="3" s="1"/>
  <c r="I64" i="3" s="1"/>
  <c r="H31" i="3"/>
  <c r="H63" i="3"/>
  <c r="H64" i="3" s="1"/>
  <c r="I20" i="3"/>
  <c r="J14" i="3"/>
  <c r="I30" i="3"/>
  <c r="H17" i="3"/>
  <c r="I17" i="3" l="1"/>
  <c r="B34" i="2"/>
  <c r="I44" i="3"/>
  <c r="G27" i="3"/>
  <c r="D56" i="3"/>
  <c r="J20" i="3"/>
  <c r="K14" i="3"/>
  <c r="J30" i="3"/>
  <c r="H25" i="3"/>
  <c r="B33" i="2"/>
  <c r="H44" i="3"/>
  <c r="E54" i="3"/>
  <c r="I22" i="3"/>
  <c r="I37" i="3"/>
  <c r="I40" i="3" s="1"/>
  <c r="J16" i="3"/>
  <c r="I32" i="3"/>
  <c r="C31" i="2"/>
  <c r="F55" i="3"/>
  <c r="I21" i="3"/>
  <c r="I24" i="3" s="1"/>
  <c r="J15" i="3"/>
  <c r="J63" i="3" s="1"/>
  <c r="J64" i="3" s="1"/>
  <c r="I31" i="3"/>
  <c r="I33" i="3" s="1"/>
  <c r="C57" i="3"/>
  <c r="J17" i="3" l="1"/>
  <c r="I25" i="3"/>
  <c r="D57" i="3"/>
  <c r="H26" i="3"/>
  <c r="H27" i="3" s="1"/>
  <c r="D30" i="2"/>
  <c r="E55" i="3"/>
  <c r="I45" i="3"/>
  <c r="I51" i="3" s="1"/>
  <c r="I54" i="3" s="1"/>
  <c r="D34" i="2" s="1"/>
  <c r="B35" i="2"/>
  <c r="J44" i="3"/>
  <c r="H45" i="3"/>
  <c r="H51" i="3" s="1"/>
  <c r="F56" i="3"/>
  <c r="F57" i="3" s="1"/>
  <c r="J22" i="3"/>
  <c r="J37" i="3"/>
  <c r="J40" i="3" s="1"/>
  <c r="K16" i="3"/>
  <c r="J32" i="3"/>
  <c r="J21" i="3"/>
  <c r="K15" i="3"/>
  <c r="K63" i="3" s="1"/>
  <c r="K64" i="3" s="1"/>
  <c r="J31" i="3"/>
  <c r="J33" i="3" s="1"/>
  <c r="G55" i="3"/>
  <c r="C32" i="2"/>
  <c r="C60" i="3"/>
  <c r="C59" i="3"/>
  <c r="E28" i="2"/>
  <c r="C58" i="3"/>
  <c r="K20" i="3"/>
  <c r="L14" i="3"/>
  <c r="K30" i="3"/>
  <c r="J24" i="3" l="1"/>
  <c r="J25" i="3" s="1"/>
  <c r="E31" i="2"/>
  <c r="F60" i="3"/>
  <c r="F58" i="3"/>
  <c r="C33" i="2"/>
  <c r="H54" i="3"/>
  <c r="H55" i="3" s="1"/>
  <c r="J45" i="3"/>
  <c r="J51" i="3" s="1"/>
  <c r="L20" i="3"/>
  <c r="M14" i="3"/>
  <c r="L30" i="3"/>
  <c r="D59" i="3"/>
  <c r="F28" i="2"/>
  <c r="D60" i="3"/>
  <c r="E29" i="2"/>
  <c r="D58" i="3"/>
  <c r="I26" i="3"/>
  <c r="I27" i="3" s="1"/>
  <c r="E56" i="3"/>
  <c r="E57" i="3" s="1"/>
  <c r="G56" i="3"/>
  <c r="G57" i="3" s="1"/>
  <c r="K21" i="3"/>
  <c r="L15" i="3"/>
  <c r="L63" i="3" s="1"/>
  <c r="L64" i="3" s="1"/>
  <c r="K31" i="3"/>
  <c r="K17" i="3"/>
  <c r="K37" i="3"/>
  <c r="K40" i="3" s="1"/>
  <c r="L16" i="3"/>
  <c r="K32" i="3"/>
  <c r="K22" i="3"/>
  <c r="K24" i="3" l="1"/>
  <c r="K33" i="3"/>
  <c r="G60" i="3"/>
  <c r="E32" i="2"/>
  <c r="G58" i="3"/>
  <c r="E60" i="3"/>
  <c r="E30" i="2"/>
  <c r="E58" i="3"/>
  <c r="J54" i="3"/>
  <c r="D35" i="2" s="1"/>
  <c r="I55" i="3"/>
  <c r="C34" i="2"/>
  <c r="K25" i="3"/>
  <c r="E59" i="3"/>
  <c r="F29" i="2"/>
  <c r="H56" i="3"/>
  <c r="H57" i="3" s="1"/>
  <c r="N14" i="3"/>
  <c r="M30" i="3"/>
  <c r="M20" i="3"/>
  <c r="K44" i="3"/>
  <c r="B36" i="2"/>
  <c r="M15" i="3"/>
  <c r="L31" i="3"/>
  <c r="L33" i="3" s="1"/>
  <c r="L21" i="3"/>
  <c r="L24" i="3" s="1"/>
  <c r="J26" i="3"/>
  <c r="J27" i="3" s="1"/>
  <c r="M16" i="3"/>
  <c r="L32" i="3"/>
  <c r="L22" i="3"/>
  <c r="L37" i="3"/>
  <c r="L40" i="3" s="1"/>
  <c r="L17" i="3"/>
  <c r="D33" i="2"/>
  <c r="L25" i="3" l="1"/>
  <c r="C35" i="2"/>
  <c r="J55" i="3"/>
  <c r="N16" i="3"/>
  <c r="M32" i="3"/>
  <c r="M22" i="3"/>
  <c r="M37" i="3"/>
  <c r="M40" i="3" s="1"/>
  <c r="E33" i="2"/>
  <c r="H60" i="3"/>
  <c r="H58" i="3"/>
  <c r="M17" i="3"/>
  <c r="I56" i="3"/>
  <c r="I57" i="3" s="1"/>
  <c r="B37" i="2"/>
  <c r="L44" i="3"/>
  <c r="N30" i="3"/>
  <c r="B14" i="3"/>
  <c r="N20" i="3"/>
  <c r="N15" i="3"/>
  <c r="M31" i="3"/>
  <c r="M21" i="3"/>
  <c r="M24" i="3" s="1"/>
  <c r="K45" i="3"/>
  <c r="K51" i="3" s="1"/>
  <c r="K54" i="3" s="1"/>
  <c r="F59" i="3"/>
  <c r="F30" i="2"/>
  <c r="K26" i="3"/>
  <c r="K27" i="3" s="1"/>
  <c r="M63" i="3"/>
  <c r="M64" i="3" s="1"/>
  <c r="M33" i="3" l="1"/>
  <c r="I60" i="3"/>
  <c r="E34" i="2"/>
  <c r="I58" i="3"/>
  <c r="D36" i="2"/>
  <c r="K55" i="3"/>
  <c r="C36" i="2"/>
  <c r="F31" i="2"/>
  <c r="G59" i="3"/>
  <c r="M25" i="3"/>
  <c r="J56" i="3"/>
  <c r="J57" i="3" s="1"/>
  <c r="L45" i="3"/>
  <c r="L51" i="3" s="1"/>
  <c r="L54" i="3" s="1"/>
  <c r="D37" i="2" s="1"/>
  <c r="N31" i="3"/>
  <c r="B31" i="3" s="1"/>
  <c r="B15" i="3"/>
  <c r="N21" i="3"/>
  <c r="B21" i="3" s="1"/>
  <c r="M44" i="3"/>
  <c r="B38" i="2"/>
  <c r="N32" i="3"/>
  <c r="B32" i="3" s="1"/>
  <c r="B16" i="3"/>
  <c r="N22" i="3"/>
  <c r="B22" i="3" s="1"/>
  <c r="N37" i="3"/>
  <c r="N17" i="3"/>
  <c r="B20" i="3"/>
  <c r="L26" i="3"/>
  <c r="L27" i="3" s="1"/>
  <c r="N33" i="3"/>
  <c r="B30" i="3"/>
  <c r="N63" i="3"/>
  <c r="B39" i="2" l="1"/>
  <c r="B5" i="2"/>
  <c r="J60" i="3"/>
  <c r="E35" i="2"/>
  <c r="J58" i="3"/>
  <c r="C37" i="2"/>
  <c r="L55" i="3"/>
  <c r="K56" i="3"/>
  <c r="K57" i="3" s="1"/>
  <c r="N24" i="3"/>
  <c r="M45" i="3"/>
  <c r="M51" i="3" s="1"/>
  <c r="M54" i="3" s="1"/>
  <c r="D38" i="2" s="1"/>
  <c r="M26" i="3"/>
  <c r="M27" i="3" s="1"/>
  <c r="B33" i="3"/>
  <c r="B18" i="2" s="1"/>
  <c r="N44" i="3"/>
  <c r="B49" i="5"/>
  <c r="B52" i="5" s="1"/>
  <c r="B17" i="3"/>
  <c r="N40" i="3"/>
  <c r="B40" i="3" s="1"/>
  <c r="B19" i="2" s="1"/>
  <c r="B37" i="3"/>
  <c r="N64" i="3"/>
  <c r="B63" i="3"/>
  <c r="H59" i="3"/>
  <c r="F32" i="2"/>
  <c r="K60" i="3" l="1"/>
  <c r="E36" i="2"/>
  <c r="K58" i="3"/>
  <c r="N25" i="3"/>
  <c r="B25" i="3" s="1"/>
  <c r="B24" i="3"/>
  <c r="N45" i="3"/>
  <c r="B45" i="3" s="1"/>
  <c r="B44" i="3"/>
  <c r="M55" i="3"/>
  <c r="C38" i="2"/>
  <c r="L56" i="3"/>
  <c r="L57" i="3" s="1"/>
  <c r="F33" i="2"/>
  <c r="I59" i="3"/>
  <c r="B64" i="3"/>
  <c r="B15" i="2"/>
  <c r="B24" i="4"/>
  <c r="D24" i="4"/>
  <c r="C24" i="4"/>
  <c r="B21" i="6"/>
  <c r="B23" i="6" s="1"/>
  <c r="B20" i="2" l="1"/>
  <c r="L60" i="3"/>
  <c r="E37" i="2"/>
  <c r="L58" i="3"/>
  <c r="E8" i="7"/>
  <c r="E7" i="7"/>
  <c r="C25" i="4"/>
  <c r="C28" i="4" s="1"/>
  <c r="C30" i="4" s="1"/>
  <c r="E5" i="7"/>
  <c r="E6" i="7"/>
  <c r="E10" i="7"/>
  <c r="E9" i="7"/>
  <c r="D7" i="7"/>
  <c r="D9" i="7"/>
  <c r="B25" i="4"/>
  <c r="B28" i="4" s="1"/>
  <c r="B30" i="4" s="1"/>
  <c r="D5" i="7"/>
  <c r="D8" i="7"/>
  <c r="D10" i="7"/>
  <c r="D6" i="7"/>
  <c r="N51" i="3"/>
  <c r="N27" i="3"/>
  <c r="F7" i="7"/>
  <c r="D25" i="4"/>
  <c r="D28" i="4" s="1"/>
  <c r="D30" i="4" s="1"/>
  <c r="F10" i="7"/>
  <c r="F9" i="7"/>
  <c r="F6" i="7"/>
  <c r="F5" i="7"/>
  <c r="F8" i="7"/>
  <c r="J59" i="3"/>
  <c r="F34" i="2"/>
  <c r="N26" i="3"/>
  <c r="B26" i="3" s="1"/>
  <c r="M56" i="3"/>
  <c r="M57" i="3" s="1"/>
  <c r="B25" i="6"/>
  <c r="B24" i="6"/>
  <c r="B26" i="6" s="1"/>
  <c r="M60" i="3" l="1"/>
  <c r="E38" i="2"/>
  <c r="M58" i="3"/>
  <c r="C39" i="2"/>
  <c r="B14" i="2"/>
  <c r="N55" i="3"/>
  <c r="B27" i="3"/>
  <c r="D34" i="4"/>
  <c r="D35" i="4"/>
  <c r="D32" i="4"/>
  <c r="D33" i="4" s="1"/>
  <c r="C32" i="4"/>
  <c r="C33" i="4" s="1"/>
  <c r="C35" i="4"/>
  <c r="C34" i="4"/>
  <c r="B51" i="3"/>
  <c r="N54" i="3"/>
  <c r="K59" i="3"/>
  <c r="F35" i="2"/>
  <c r="B35" i="4"/>
  <c r="B34" i="4"/>
  <c r="B32" i="4"/>
  <c r="B33" i="4" s="1"/>
  <c r="C22" i="2" l="1"/>
  <c r="C19" i="2"/>
  <c r="B6" i="2"/>
  <c r="C18" i="2"/>
  <c r="C21" i="2"/>
  <c r="C20" i="2"/>
  <c r="N56" i="3"/>
  <c r="B56" i="3" s="1"/>
  <c r="B23" i="2" s="1"/>
  <c r="C23" i="2" s="1"/>
  <c r="B55" i="3"/>
  <c r="D39" i="2"/>
  <c r="B54" i="3"/>
  <c r="B7" i="2" s="1"/>
  <c r="L59" i="3"/>
  <c r="F36" i="2"/>
  <c r="N57" i="3" l="1"/>
  <c r="M59" i="3"/>
  <c r="F37" i="2"/>
  <c r="N59" i="3" l="1"/>
  <c r="F38" i="2"/>
  <c r="N60" i="3"/>
  <c r="B11" i="2" s="1"/>
  <c r="E39" i="2"/>
  <c r="B10" i="2"/>
  <c r="B57" i="3"/>
  <c r="N58" i="3"/>
  <c r="B24" i="2" l="1"/>
  <c r="C24" i="2" s="1"/>
  <c r="B8" i="2"/>
  <c r="B58" i="3"/>
  <c r="B9" i="2" s="1"/>
  <c r="B13" i="2"/>
  <c r="B59" i="3"/>
  <c r="F39" i="2"/>
  <c r="B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8" authorId="0" shapeId="0" xr:uid="{00000000-0006-0000-0200-000001000000}">
      <text>
        <r>
          <rPr>
            <sz val="10"/>
            <rFont val="Arial"/>
            <family val="2"/>
          </rPr>
          <t>Cuántos salones de este plan empiezan a pagar este mes. EJEMPLO: pon tu meta real.</t>
        </r>
      </text>
    </comment>
    <comment ref="A9" authorId="0" shapeId="0" xr:uid="{00000000-0006-0000-0200-000002000000}">
      <text>
        <r>
          <rPr>
            <sz val="10"/>
            <rFont val="Arial"/>
            <family val="2"/>
          </rPr>
          <t>Cuántos salones de este plan empiezan a pagar este mes. EJEMPLO: pon tu meta real.</t>
        </r>
      </text>
    </comment>
    <comment ref="A10" authorId="0" shapeId="0" xr:uid="{00000000-0006-0000-0200-000003000000}">
      <text>
        <r>
          <rPr>
            <sz val="10"/>
            <rFont val="Arial"/>
            <family val="2"/>
          </rPr>
          <t>Cuántos salones de este plan empiezan a pagar este mes. EJEMPLO: pon tu meta real.</t>
        </r>
      </text>
    </comment>
    <comment ref="A11" authorId="0" shapeId="0" xr:uid="{00000000-0006-0000-0200-000004000000}">
      <text>
        <r>
          <rPr>
            <sz val="10"/>
            <rFont val="Arial"/>
            <family val="2"/>
          </rPr>
          <t>Cuántos dejan de pagar este mes. Siempre se va alguno: mejor contarlo.</t>
        </r>
      </text>
    </comment>
    <comment ref="A12" authorId="0" shapeId="0" xr:uid="{00000000-0006-0000-0200-000005000000}">
      <text>
        <r>
          <rPr>
            <sz val="10"/>
            <rFont val="Arial"/>
            <family val="2"/>
          </rPr>
          <t>Cuántos dejan de pagar este mes. Siempre se va alguno: mejor contarlo.</t>
        </r>
      </text>
    </comment>
    <comment ref="A13" authorId="0" shapeId="0" xr:uid="{00000000-0006-0000-0200-000006000000}">
      <text>
        <r>
          <rPr>
            <sz val="10"/>
            <rFont val="Arial"/>
            <family val="2"/>
          </rPr>
          <t>Cuántos dejan de pagar este mes. Siempre se va alguno: mejor contarlo.</t>
        </r>
      </text>
    </comment>
    <comment ref="A14" authorId="0" shapeId="0" xr:uid="{00000000-0006-0000-0200-000007000000}">
      <text>
        <r>
          <rPr>
            <sz val="10"/>
            <rFont val="Arial"/>
            <family val="2"/>
          </rPr>
          <t>Los del mes anterior + los nuevos − los que se van. En la columna Año: al cierre.</t>
        </r>
      </text>
    </comment>
    <comment ref="A15" authorId="0" shapeId="0" xr:uid="{00000000-0006-0000-0200-000008000000}">
      <text>
        <r>
          <rPr>
            <sz val="10"/>
            <rFont val="Arial"/>
            <family val="2"/>
          </rPr>
          <t>Los del mes anterior + los nuevos − los que se van. En la columna Año: al cierre.</t>
        </r>
      </text>
    </comment>
    <comment ref="A16" authorId="0" shapeId="0" xr:uid="{00000000-0006-0000-0200-000009000000}">
      <text>
        <r>
          <rPr>
            <sz val="10"/>
            <rFont val="Arial"/>
            <family val="2"/>
          </rPr>
          <t>Los del mes anterior + los nuevos − los que se van. En la columna Año: al cierre.</t>
        </r>
      </text>
    </comment>
    <comment ref="A20" authorId="0" shapeId="0" xr:uid="{00000000-0006-0000-0200-00000A000000}">
      <text>
        <r>
          <rPr>
            <sz val="10"/>
            <rFont val="Arial"/>
            <family val="2"/>
          </rPr>
          <t>Salones pagando × precio del plan (hoja Planes).</t>
        </r>
      </text>
    </comment>
    <comment ref="A21" authorId="0" shapeId="0" xr:uid="{00000000-0006-0000-0200-00000B000000}">
      <text>
        <r>
          <rPr>
            <sz val="10"/>
            <rFont val="Arial"/>
            <family val="2"/>
          </rPr>
          <t>Salones pagando × precio del plan (hoja Planes).</t>
        </r>
      </text>
    </comment>
    <comment ref="A22" authorId="0" shapeId="0" xr:uid="{00000000-0006-0000-0200-00000C000000}">
      <text>
        <r>
          <rPr>
            <sz val="10"/>
            <rFont val="Arial"/>
            <family val="2"/>
          </rPr>
          <t>Salones pagando × precio del plan (hoja Planes).</t>
        </r>
      </text>
    </comment>
    <comment ref="A23" authorId="0" shapeId="0" xr:uid="{00000000-0006-0000-0200-00000D000000}">
      <text>
        <r>
          <rPr>
            <sz val="10"/>
            <rFont val="Arial"/>
            <family val="2"/>
          </rPr>
          <t>Salones nuevos × cobro de instalación (Supuestos). Con 0 no se cobra.</t>
        </r>
      </text>
    </comment>
    <comment ref="A25" authorId="0" shapeId="0" xr:uid="{00000000-0006-0000-0200-00000E000000}">
      <text>
        <r>
          <rPr>
            <sz val="10"/>
            <rFont val="Arial"/>
            <family val="2"/>
          </rPr>
          <t>Si tus precios incluyen ITBIS, de cada RD$ 118 cobrados, 18 van a la DGII.</t>
        </r>
      </text>
    </comment>
    <comment ref="A30" authorId="0" shapeId="0" xr:uid="{00000000-0006-0000-0200-00000F000000}">
      <text>
        <r>
          <rPr>
            <sz val="10"/>
            <rFont val="Arial"/>
            <family val="2"/>
          </rPr>
          <t>Salones pagando × costo de atender un salón de este plan (hoja Planes).</t>
        </r>
      </text>
    </comment>
    <comment ref="A31" authorId="0" shapeId="0" xr:uid="{00000000-0006-0000-0200-000010000000}">
      <text>
        <r>
          <rPr>
            <sz val="10"/>
            <rFont val="Arial"/>
            <family val="2"/>
          </rPr>
          <t>Salones pagando × costo de atender un salón de este plan (hoja Planes).</t>
        </r>
      </text>
    </comment>
    <comment ref="A32" authorId="0" shapeId="0" xr:uid="{00000000-0006-0000-0200-000011000000}">
      <text>
        <r>
          <rPr>
            <sz val="10"/>
            <rFont val="Arial"/>
            <family val="2"/>
          </rPr>
          <t>Salones pagando × costo de atender un salón de este plan (hoja Planes).</t>
        </r>
      </text>
    </comment>
    <comment ref="A37" authorId="0" shapeId="0" xr:uid="{00000000-0006-0000-0200-000012000000}">
      <text>
        <r>
          <rPr>
            <sz val="10"/>
            <rFont val="Arial"/>
            <family val="2"/>
          </rPr>
          <t>Solo se paga cuando tienes al menos un salón Lounge (la voz de la dueña).</t>
        </r>
      </text>
    </comment>
    <comment ref="A39" authorId="0" shapeId="0" xr:uid="{00000000-0006-0000-0200-000013000000}">
      <text>
        <r>
          <rPr>
            <sz val="10"/>
            <rFont val="Arial"/>
            <family val="2"/>
          </rPr>
          <t>Gratis: Google no la cobra. El límite es la cuota diaria; mírala abajo en Controles.</t>
        </r>
      </text>
    </comment>
    <comment ref="A44" authorId="0" shapeId="0" xr:uid="{00000000-0006-0000-0200-000014000000}">
      <text>
        <r>
          <rPr>
            <sz val="10"/>
            <rFont val="Arial"/>
            <family val="2"/>
          </rPr>
          <t>Entra cuando llegas a los salones que pusiste en Supuestos.</t>
        </r>
      </text>
    </comment>
    <comment ref="A47" authorId="0" shapeId="0" xr:uid="{00000000-0006-0000-0200-000015000000}">
      <text>
        <r>
          <rPr>
            <sz val="10"/>
            <rFont val="Arial"/>
            <family val="2"/>
          </rPr>
          <t>A quien te trae el salón: las mensualidades que pusiste en Supuestos, una sola vez.</t>
        </r>
      </text>
    </comment>
    <comment ref="A56" authorId="0" shapeId="0" xr:uid="{00000000-0006-0000-0200-000016000000}">
      <text>
        <r>
          <rPr>
            <sz val="10"/>
            <rFont val="Arial"/>
            <family val="2"/>
          </rPr>
          <t>Simplificado: 27 % de la ganancia de cada mes con ganancia. Tu contador lo ajusta al cierre del año.</t>
        </r>
      </text>
    </comment>
    <comment ref="A59" authorId="0" shapeId="0" xr:uid="{00000000-0006-0000-0200-000017000000}">
      <text>
        <r>
          <rPr>
            <sz val="10"/>
            <rFont val="Arial"/>
            <family val="2"/>
          </rPr>
          <t>Lo que pusiste al empezar + todas las ganancias (o pérdidas) hasta ese mes. Si se pone en rojo, te falta dinero.</t>
        </r>
      </text>
    </comment>
    <comment ref="A64" authorId="0" shapeId="0" xr:uid="{00000000-0006-0000-0200-000018000000}">
      <text>
        <r>
          <rPr>
            <sz val="10"/>
            <rFont val="Arial"/>
            <family val="2"/>
          </rPr>
          <t>Pasado 100 % la música deja de encontrar canciones nuevas ese día. Pide más cuota a Google (es gratis) antes del 80 %.</t>
        </r>
      </text>
    </comment>
  </commentList>
</comments>
</file>

<file path=xl/sharedStrings.xml><?xml version="1.0" encoding="utf-8"?>
<sst xmlns="http://schemas.openxmlformats.org/spreadsheetml/2006/main" count="572" uniqueCount="439">
  <si>
    <t>Lalan AI · El libro de la empresa</t>
  </si>
  <si>
    <t>Aquí se ve cuánto entra, cuánto sale y cuánto gana la empresa. Todo se recalcula solo.</t>
  </si>
  <si>
    <t>Cómo se usa (3 pasos)</t>
  </si>
  <si>
    <t>1.  Hoja MI EMPRESA: escribe cuántos salones de cada plan entran y cuántos se van cada mes. Los números que hay son un ejemplo.</t>
  </si>
  <si>
    <t>2.  Hoja RESUMEN: mira si la empresa gana, desde qué mes, y cuánto dinero necesitas para arrancar.</t>
  </si>
  <si>
    <t>3.  Si quieres probar otra cosa, cambia precios en PLANES, o sueldos, publicidad, dólar… en SUPUESTOS. Cada gasto de la empresa tiene un interruptor: 1 lo incluye, 0 lo quita.</t>
  </si>
  <si>
    <t>Los colores</t>
  </si>
  <si>
    <t>Azul con fondo amarillo = lo escribes tú</t>
  </si>
  <si>
    <t>Negro = se calcula solo (no lo toques)</t>
  </si>
  <si>
    <t>Verde = viene de otra hoja</t>
  </si>
  <si>
    <t>Rojo = pérdida o caja negativa</t>
  </si>
  <si>
    <t>Ejemplo en vivo: un salón del plan Salón al mes</t>
  </si>
  <si>
    <t>La dueña paga</t>
  </si>
  <si>
    <t>Se va en ITBIS y comisión del cobro</t>
  </si>
  <si>
    <t>El ITBIS es de la DGII, no tuyo.</t>
  </si>
  <si>
    <t>Cuesta atenderla (IA, WhatsApp, notas de voz)</t>
  </si>
  <si>
    <t>Se paga en dólares; aquí ya en pesos.</t>
  </si>
  <si>
    <t>Queda para pagar la empresa y ganar</t>
  </si>
  <si>
    <t>Con esto se pagan servidores, sueldos, publicidad… Lo que sobra es ganancia.</t>
  </si>
  <si>
    <t>Palabras que aparecen</t>
  </si>
  <si>
    <t>Ingreso neto</t>
  </si>
  <si>
    <t>Lo cobrado menos el ITBIS y la comisión de la tarjeta. Es el dinero que de verdad es de la empresa.</t>
  </si>
  <si>
    <t>Costo de atender un salón</t>
  </si>
  <si>
    <t>Lo que sube con cada salón: la IA, las notas de voz, WhatsApp si lo pagas tú y la voz de la dueña.</t>
  </si>
  <si>
    <t>Sistema</t>
  </si>
  <si>
    <t>Lo que pagas igual tengas 1 o 100 salones: servidores, n8n, dominio, la suscripción de voz. La API de YouTube es gratis.</t>
  </si>
  <si>
    <t>Gastos de la empresa</t>
  </si>
  <si>
    <t>Tu sueldo, la asistente, publicidad, contador… Se encienden y apagan en Supuestos.</t>
  </si>
  <si>
    <t>Ganancia</t>
  </si>
  <si>
    <t>Ingreso neto menos todo lo que sale y el ISR.</t>
  </si>
  <si>
    <t>Margen</t>
  </si>
  <si>
    <t>Qué parte del ingreso neto queda de ganancia. 30 % = de cada RD$ 100, quedan RD$ 30.</t>
  </si>
  <si>
    <t>Caja</t>
  </si>
  <si>
    <t>El dinero acumulado en la cuenta mes tras mes. Si se pone en rojo, hace falta poner dinero.</t>
  </si>
  <si>
    <t>Colchón cambiario</t>
  </si>
  <si>
    <t>Tú cobras en pesos y pagas en dólares; el colchón encarece un poco los costos en dólares por si sube el dólar.</t>
  </si>
  <si>
    <t>Cuota de YouTube</t>
  </si>
  <si>
    <t>Google regala 10.000 unidades al día para toda la app; cada búsqueda de música gasta 100. No cuesta dinero, pero se puede acabar.</t>
  </si>
  <si>
    <t>Las otras hojas</t>
  </si>
  <si>
    <t>Planes</t>
  </si>
  <si>
    <t>Precio, costo y margen de UN salón de cada plan.</t>
  </si>
  <si>
    <t>Supuestos</t>
  </si>
  <si>
    <t>Precios de proveedores, dólar, impuestos y gastos de la empresa.</t>
  </si>
  <si>
    <t>Negociación</t>
  </si>
  <si>
    <t>Para calcular un descuento con un salón concreto.</t>
  </si>
  <si>
    <t>Sensibilidad</t>
  </si>
  <si>
    <t>Qué pasa con el margen si sube el dólar o la IA.</t>
  </si>
  <si>
    <t>Qué incluye</t>
  </si>
  <si>
    <t>Lo que trae cada plan, para el documento comercial.</t>
  </si>
  <si>
    <t>Fuentes</t>
  </si>
  <si>
    <t>De dónde salen los precios.</t>
  </si>
  <si>
    <t>Lalan AI · Cómo va la empresa</t>
  </si>
  <si>
    <t>Primer año, según los salones que pusiste en Mi empresa. Esta hoja no se edita: cambia Mi empresa o Supuestos.</t>
  </si>
  <si>
    <t>Lo importante</t>
  </si>
  <si>
    <t>Salones pagando al cerrar el año</t>
  </si>
  <si>
    <t>Ingreso neto del año</t>
  </si>
  <si>
    <t>Lo cobrado, sin ITBIS ni comisiones.</t>
  </si>
  <si>
    <t>Todo lo que salió en el año</t>
  </si>
  <si>
    <t>Atender salones + sistema + gastos de la empresa.</t>
  </si>
  <si>
    <t>Ganancia del año (después de ISR)</t>
  </si>
  <si>
    <t>Margen del año</t>
  </si>
  <si>
    <t>De cada RD$ 100 que son tuyos, cuánto queda de ganancia.</t>
  </si>
  <si>
    <t>Ganancia del último mes</t>
  </si>
  <si>
    <t>Así queda el negocio al terminar el año.</t>
  </si>
  <si>
    <t>Primer mes con ganancia</t>
  </si>
  <si>
    <t>El primer mes en que entra más de lo que sale.</t>
  </si>
  <si>
    <t>Dinero que necesitas para no quedarte en rojo</t>
  </si>
  <si>
    <t>Lo más hondo que llega la caja. Tenlo guardado o consíguelo antes de empezar.</t>
  </si>
  <si>
    <t>Caja al final del año</t>
  </si>
  <si>
    <t>Salones que necesitas para cubrir todos los gastos</t>
  </si>
  <si>
    <t>Con la mezcla de planes y los gastos del mes 12. Si es mayor que tus salones, todavía pierdes.</t>
  </si>
  <si>
    <t>Cuota de YouTube usada (mes 12)</t>
  </si>
  <si>
    <t>La API de YouTube es gratis; el límite es la cuota diaria. Más de 80 %: pide ampliación a Google.</t>
  </si>
  <si>
    <t>A dónde se va el dinero (año)</t>
  </si>
  <si>
    <t>RD$</t>
  </si>
  <si>
    <t>De cada RD$ 100 de ingreso neto</t>
  </si>
  <si>
    <t>Atender a los salones (IA, WhatsApp, voz)</t>
  </si>
  <si>
    <t>Sistema (servidores, voz, YouTube)</t>
  </si>
  <si>
    <t>Sueldos y cargas sociales</t>
  </si>
  <si>
    <t>Publicidad y comisiones</t>
  </si>
  <si>
    <t>Contador, herramientas y equipo</t>
  </si>
  <si>
    <t>ISR</t>
  </si>
  <si>
    <t>Te queda de ganancia</t>
  </si>
  <si>
    <t>Mes a mes</t>
  </si>
  <si>
    <t>Mes</t>
  </si>
  <si>
    <t>Salones</t>
  </si>
  <si>
    <t>Todo lo que sale</t>
  </si>
  <si>
    <t>Mi empresa · Lalan AI mes a mes (todo en RD$)</t>
  </si>
  <si>
    <t>Escribe en AZUL cuántos salones entran y cuántos se van cada mes (los de ahora son un EJEMPLO). Todo lo demás se calcula con las hojas Planes y Supuestos. Pasa el ratón por los nombres de las filas para ver la explicación.</t>
  </si>
  <si>
    <t>Concepto</t>
  </si>
  <si>
    <t>Año</t>
  </si>
  <si>
    <t>Mes n.º</t>
  </si>
  <si>
    <t>Salones nuevos · Esencial</t>
  </si>
  <si>
    <t>Salones nuevos · Salón</t>
  </si>
  <si>
    <t>Salones nuevos · Lounge</t>
  </si>
  <si>
    <t>Salones que se van · Esencial</t>
  </si>
  <si>
    <t>Salones que se van · Salón</t>
  </si>
  <si>
    <t>Salones que se van · Lounge</t>
  </si>
  <si>
    <t>Salones pagando · Esencial</t>
  </si>
  <si>
    <t>Salones pagando · Salón</t>
  </si>
  <si>
    <t>Salones pagando · Lounge</t>
  </si>
  <si>
    <t>SALONES PAGANDO</t>
  </si>
  <si>
    <t>Lo que entra</t>
  </si>
  <si>
    <t>Mensualidades · Esencial</t>
  </si>
  <si>
    <t>Mensualidades · Salón</t>
  </si>
  <si>
    <t>Mensualidades · Lounge</t>
  </si>
  <si>
    <t>Cobros de instalación</t>
  </si>
  <si>
    <t>Total cobrado</t>
  </si>
  <si>
    <t>− ITBIS (es del fisco, no tuyo)</t>
  </si>
  <si>
    <t>− Comisión del cobro (tarjeta, pasarela)</t>
  </si>
  <si>
    <t>INGRESO NETO (lo que de verdad es tuyo)</t>
  </si>
  <si>
    <t>Lo que cuesta atender a los salones (sube con cada salón)</t>
  </si>
  <si>
    <t>IA, WhatsApp, notas de voz y voz · Esencial</t>
  </si>
  <si>
    <t>IA, WhatsApp, notas de voz y voz · Salón</t>
  </si>
  <si>
    <t>IA, WhatsApp, notas de voz y voz · Lounge</t>
  </si>
  <si>
    <t>Total atender salones</t>
  </si>
  <si>
    <t>Sistema (se paga en dólares; aquí ya en pesos con el colchón)</t>
  </si>
  <si>
    <t>Servidores: app, base de datos y n8n</t>
  </si>
  <si>
    <t>Suscripción de voz (ElevenLabs)</t>
  </si>
  <si>
    <t>Dominio, correo, respaldos</t>
  </si>
  <si>
    <t>API de YouTube (música del Lounge)</t>
  </si>
  <si>
    <t>Total sistema</t>
  </si>
  <si>
    <t>Gastos de la empresa (se encienden o apagan en Supuestos)</t>
  </si>
  <si>
    <t>Tu sueldo</t>
  </si>
  <si>
    <t>Asistente (configura salones y atiende a las dueñas)</t>
  </si>
  <si>
    <t>Cargas sociales (TSS + INFOTEP)</t>
  </si>
  <si>
    <t>Publicidad</t>
  </si>
  <si>
    <t>Comisión por salones nuevos</t>
  </si>
  <si>
    <t>Contador</t>
  </si>
  <si>
    <t>Suscripciones y herramientas</t>
  </si>
  <si>
    <t>Compra de equipo</t>
  </si>
  <si>
    <t>Total gastos de la empresa</t>
  </si>
  <si>
    <t>Resultado</t>
  </si>
  <si>
    <t>TODO LO QUE SALE</t>
  </si>
  <si>
    <t>Ganancia antes de impuestos</t>
  </si>
  <si>
    <t>− ISR estimado</t>
  </si>
  <si>
    <t>GANANCIA DE LA EMPRESA</t>
  </si>
  <si>
    <t>Margen (ganancia ÷ ingreso neto)</t>
  </si>
  <si>
    <t>CAJA (dinero acumulado en la cuenta)</t>
  </si>
  <si>
    <t>¿Ganó este mes? (1 = sí)</t>
  </si>
  <si>
    <t>Controles</t>
  </si>
  <si>
    <t>YouTube: unidades usadas al día</t>
  </si>
  <si>
    <t>YouTube: parte de la cuota gratis usada</t>
  </si>
  <si>
    <t>Lalan AI · Planes: costo, precio y margen por salón al mes</t>
  </si>
  <si>
    <t>Azul con fondo amarillo = lo negocias tú. Negro = se calcula. Todo en pesos salvo donde dice US$.</t>
  </si>
  <si>
    <t>Esencial</t>
  </si>
  <si>
    <t>Salón</t>
  </si>
  <si>
    <t>Lounge</t>
  </si>
  <si>
    <t>Nota</t>
  </si>
  <si>
    <t>Lo que negocias</t>
  </si>
  <si>
    <t>Precio mensual al salón</t>
  </si>
  <si>
    <t>Lo que paga la dueña. Si IncluyeITBIS = 1, este precio ya lleva el ITBIS dentro.</t>
  </si>
  <si>
    <t>Mensajes de clientas incluidos al mes</t>
  </si>
  <si>
    <t>Mensajes que Lalan atiende. Pasado el límite: paquete extra o sube de plan.</t>
  </si>
  <si>
    <t>Uso esperado del límite</t>
  </si>
  <si>
    <t>Casi nadie usa el 100 %. Para el peor caso, pon 100 %.</t>
  </si>
  <si>
    <t>Mensajes que el equipo escribe desde la app al mes</t>
  </si>
  <si>
    <t>También salen por la API de WhatsApp y cuentan para las 1.000 gratis.</t>
  </si>
  <si>
    <t>Respuestas de Lalan con la voz de la dueña</t>
  </si>
  <si>
    <t>Parte de las respuestas que se mandan como audio. Solo en el plan Lounge.</t>
  </si>
  <si>
    <t>Avisos a la dueña al mes (plantilla)</t>
  </si>
  <si>
    <t>Chats que pasan a una persona + citas sin especialista.</t>
  </si>
  <si>
    <t>Horas de soporte al mes</t>
  </si>
  <si>
    <t>Tu tiempo atendiendo dudas y cambios. Solo cuenta para el margen de ESTA hoja; en Mi empresa el soporte lo pagan los sueldos.</t>
  </si>
  <si>
    <t>Búsquedas de música en YouTube al día</t>
  </si>
  <si>
    <t>Gustos nuevos + canciones que las clientas buscan en el QR. El Esencial no tiene Lounge. Cada una gasta 100 unidades de la cuota diaria.</t>
  </si>
  <si>
    <t>¿Meta se lo cobra al salón directamente? (1 = sí, 0 = lo pagas tú)</t>
  </si>
  <si>
    <t>Recomendado 1: cada salón conecta su número y pone SU tarjeta en Meta. Así el costo de WhatsApp nunca es tuyo.</t>
  </si>
  <si>
    <t>Costos del mes (US$)</t>
  </si>
  <si>
    <t>Mensajes de clientas atendidos</t>
  </si>
  <si>
    <t>Inteligencia artificial</t>
  </si>
  <si>
    <t>Transcripción de notas de voz</t>
  </si>
  <si>
    <t>Mensajes que salen por WhatsApp (cantidad)</t>
  </si>
  <si>
    <t>WhatsApp: respuestas pasadas las 1.000 gratis</t>
  </si>
  <si>
    <t>0 si Meta se lo cobra al salón.</t>
  </si>
  <si>
    <t>WhatsApp: avisos a la dueña</t>
  </si>
  <si>
    <t>Voz de la dueña</t>
  </si>
  <si>
    <t>Costo variable</t>
  </si>
  <si>
    <t>Parte de los costos fijos del sistema</t>
  </si>
  <si>
    <t>Fijos del sistema ÷ salones pagando. Los gastos de la empresa (sueldos, publicidad…) están en Mi empresa, no aquí.</t>
  </si>
  <si>
    <t>Costo total en dólares</t>
  </si>
  <si>
    <t>Resultado del mes (RD$)</t>
  </si>
  <si>
    <t>Costo de atender este salón (lo que sube con cada salón)</t>
  </si>
  <si>
    <t>IA, notas de voz, WhatsApp y voz, en pesos. Es lo que usa Mi empresa por cada salón activo.</t>
  </si>
  <si>
    <t>Costos en dólares, pasados a pesos (con colchón)</t>
  </si>
  <si>
    <t>Soporte</t>
  </si>
  <si>
    <t>COSTO TOTAL</t>
  </si>
  <si>
    <t>Ingreso neto (sin ITBIS ni comisión)</t>
  </si>
  <si>
    <t>GANANCIA</t>
  </si>
  <si>
    <t>Margen sobre el ingreso neto</t>
  </si>
  <si>
    <t>Precio mínimo sugerido (para el margen objetivo)</t>
  </si>
  <si>
    <t>Lo menos que deberías cobrar para ganar el margen objetivo, con estos supuestos.</t>
  </si>
  <si>
    <t>Costo por mensaje de clienta atendido</t>
  </si>
  <si>
    <t>Lo que aporta cada salón para pagar los fijos</t>
  </si>
  <si>
    <t>Ingreso neto menos lo variable y el soporte.</t>
  </si>
  <si>
    <t>Salones de este plan para cubrir los fijos</t>
  </si>
  <si>
    <t>Si solo vendieras este plan: cuántos salones necesitas para no perder.</t>
  </si>
  <si>
    <t>Paquete extra de mensajes</t>
  </si>
  <si>
    <t>Mensajes del paquete extra</t>
  </si>
  <si>
    <t>Costo del paquete</t>
  </si>
  <si>
    <t>Precio sugerido del paquete (margen objetivo)</t>
  </si>
  <si>
    <t>Redondeado a 5 pesos.</t>
  </si>
  <si>
    <t>Lalan AI · Supuestos del modelo de costos</t>
  </si>
  <si>
    <t>Cambia solo las celdas en AZUL con fondo amarillo. Todo lo demás se calcula solo. Precios de proveedores verificados el 26 de septiembre de 2026 (ver hoja Fuentes).</t>
  </si>
  <si>
    <t>Moneda, impuestos y cobro</t>
  </si>
  <si>
    <t>Supuesto</t>
  </si>
  <si>
    <t>Valor</t>
  </si>
  <si>
    <t>Unidad</t>
  </si>
  <si>
    <t>De dónde sale / nota</t>
  </si>
  <si>
    <t>Tasa del dólar (venta)</t>
  </si>
  <si>
    <t>RD$ por US$</t>
  </si>
  <si>
    <t>Banco Central RD, tasa de venta del 24-sep-2026 (vigente hasta el 25-sep). Actualízala al negociar.</t>
  </si>
  <si>
    <t>%</t>
  </si>
  <si>
    <t>Protección por si el peso se deprecia mientras el precio en pesos queda fijo. Todos los costos en dólares se multiplican por (1 + colchón).</t>
  </si>
  <si>
    <t>ITBIS</t>
  </si>
  <si>
    <t>Impuesto a la venta en RD.</t>
  </si>
  <si>
    <t>¿El precio del plan ya incluye ITBIS? (1 = sí, 0 = no)</t>
  </si>
  <si>
    <t>1 / 0</t>
  </si>
  <si>
    <t>Con 1, de cada RD$ 118 cobrados, RD$ 18 son del fisco. Pon 0 si facturas ITBIS aparte o si no estás obligado (consúltalo con tu contador).</t>
  </si>
  <si>
    <t>Comisión del cobro (tarjeta, pasarela o transferencia)</t>
  </si>
  <si>
    <t>% del precio</t>
  </si>
  <si>
    <t>Estimado. Ajusta a tu medio de cobro real (Azul, CardNet, PayPal, Stripe…). Transferencia bancaria ≈ 0 %.</t>
  </si>
  <si>
    <t>Margen que quieres ganar sobre el ingreso neto</t>
  </si>
  <si>
    <t>Se usa para calcular el precio mínimo sugerido de cada plan.</t>
  </si>
  <si>
    <t>Inteligencia artificial (OpenRouter · gpt-4.1-mini)</t>
  </si>
  <si>
    <t>Precio de entrada</t>
  </si>
  <si>
    <t>US$ / millón de tokens</t>
  </si>
  <si>
    <t>OpenRouter, openai/gpt-4.1-mini: US$ 0.40 entrada · US$ 1.60 salida por millón.</t>
  </si>
  <si>
    <t>Precio de salida</t>
  </si>
  <si>
    <t>Ídem.</t>
  </si>
  <si>
    <t>Precio de entrada en caché</t>
  </si>
  <si>
    <t>ESTIMADO: OpenAI cobra ~25 % del precio por la parte del prompt que se repite (caché). Verifica en OpenRouter.</t>
  </si>
  <si>
    <t>Tokens de entrada por llamada al modelo</t>
  </si>
  <si>
    <t>tokens</t>
  </si>
  <si>
    <t>Medido el 26-sep-2026 con el prompt nuevo, en un salón de 22 servicios y 6 especialistas: mensaje de sistema 3.800 (3.150 fijos + 650 que cambian) + 12 herramientas 1.400 + mensaje y resultados de herramientas ~1.300. Con unos 50 servicios, súmale ~800. Compáralo con la columna Tokens de la actividad de OpenRouter.</t>
  </si>
  <si>
    <t>Tokens de salida por llamada</t>
  </si>
  <si>
    <t>Una respuesta de chat o una llamada a herramienta.</t>
  </si>
  <si>
    <t>Llamadas al modelo cada vez que Lalan contesta</t>
  </si>
  <si>
    <t>llamadas</t>
  </si>
  <si>
    <t>Una pregunta simple = 1; agendar = 3 o 4 (consulta, agenda, respuesta). 2 es un promedio prudente.</t>
  </si>
  <si>
    <t>Parte de la entrada que va en caché</t>
  </si>
  <si>
    <t>ESTIMADO. Desde el 26-sep el prompt pone primero lo fijo (reglas, servicios, herramientas ≈ 78 % de la entrada) y al final lo que cambia. La 2.ª y 3.ª llamada de cada respuesta casi siempre sale de caché; la 1.ª, solo si ese salón tuvo otro mensaje en los últimos ~5-10 min. Salón con poco movimiento ≈ 40 %; salón con mucho ≈ 65 %. Verifícalo en OpenRouter (Activity → cached tokens).</t>
  </si>
  <si>
    <t>Mensajes de clientas que llegan en ráfaga y se contestan juntos</t>
  </si>
  <si>
    <t>ESTIMADO. "hola" · "quería una cita" · "para mañana" = 3 mensajes, 1 respuesta. Lalan espera 7 s por si la clienta sigue escribiendo (se cambia en el nodo Configuración Lalan de n8n). Cuéntalo tú: respuestas de Lalan ÷ mensajes de clientas en el panel de bots.</t>
  </si>
  <si>
    <t>Comisión de OpenRouter al recargar créditos</t>
  </si>
  <si>
    <t>ESTIMADO (~5,5 % por compra de créditos con tarjeta). Verifica en tu cuenta.</t>
  </si>
  <si>
    <t>→ Costo de IA por mensaje de clienta</t>
  </si>
  <si>
    <t>US$</t>
  </si>
  <si>
    <t>Notas de voz de las clientas (transcripción · Groq Whisper)</t>
  </si>
  <si>
    <t>Precio de transcripción</t>
  </si>
  <si>
    <t>US$ / hora de audio</t>
  </si>
  <si>
    <t>Groq, whisper-large-v3.</t>
  </si>
  <si>
    <t>Duración promedio de una nota de voz</t>
  </si>
  <si>
    <t>segundos</t>
  </si>
  <si>
    <t>Supuesto.</t>
  </si>
  <si>
    <t>Mínimo facturable por audio</t>
  </si>
  <si>
    <t>Groq cobra al menos 10 s por audio.</t>
  </si>
  <si>
    <t>Mensajes de clientas que llegan como nota de voz</t>
  </si>
  <si>
    <t>Supuesto; en RD se usan mucho.</t>
  </si>
  <si>
    <t>→ Costo de transcripción por mensaje de clienta (promedio)</t>
  </si>
  <si>
    <t>WhatsApp (Meta) · desde el 1 de octubre de 2026</t>
  </si>
  <si>
    <t>Tarifa por mensaje de servicio (respuestas) pasado el gratis</t>
  </si>
  <si>
    <t>US$ / mensaje</t>
  </si>
  <si>
    <t>Resto de América Latina (RD está en este grupo). Desde el 1-oct-2026 Meta cobra las respuestas de servicio pasadas las 1.000 gratis por número al mes.</t>
  </si>
  <si>
    <t>Mensajes de servicio gratis por número al mes</t>
  </si>
  <si>
    <t>mensajes</t>
  </si>
  <si>
    <t>Por NÚMERO de WhatsApp (cada salón tiene el suyo). No se acumulan.</t>
  </si>
  <si>
    <t>Tarifa de plantilla de utilidad (aviso a la dueña)</t>
  </si>
  <si>
    <t>Misma tarifa. Gratis si la dueña escribió a ese número en las últimas 24 h; aquí se asume que siempre se paga.</t>
  </si>
  <si>
    <t>Mensajes que manda Lalan cada vez que contesta</t>
  </si>
  <si>
    <t>A veces responde en dos mensajes (la cita y luego el Lounge).</t>
  </si>
  <si>
    <t>→ Mensajes que salen por cada mensaje de una clienta</t>
  </si>
  <si>
    <t>Los mensajes en ráfaga se contestan juntos: una sola respuesta.</t>
  </si>
  <si>
    <t>Voz de la dueña (ElevenLabs · clonación de voz)</t>
  </si>
  <si>
    <t>Precio por cada 1.000 caracteres convertidos a voz</t>
  </si>
  <si>
    <t>ElevenLabs API, modelos Flash/Turbo: US$ 0.06 por 1.000 caracteres. Multilingual (mejor calidad): US$ 0.12.</t>
  </si>
  <si>
    <t>Caracteres por respuesta hablada</t>
  </si>
  <si>
    <t>caracteres</t>
  </si>
  <si>
    <t>Una respuesta de chat típica (~30 palabras).</t>
  </si>
  <si>
    <t>→ Costo por respuesta con voz</t>
  </si>
  <si>
    <t>Costos fijos del sistema (se reparten entre todos los salones)</t>
  </si>
  <si>
    <t>Servidor de la app y base de datos (Railway)</t>
  </si>
  <si>
    <t>US$ / mes</t>
  </si>
  <si>
    <t>Railway Pro US$ 20 incluye US$ 20 de uso; estimado con algo de consumo extra.</t>
  </si>
  <si>
    <t>Servidor de n8n (Railway)</t>
  </si>
  <si>
    <t>Estimado.</t>
  </si>
  <si>
    <t>Suscripción de voz (ElevenLabs Creator)</t>
  </si>
  <si>
    <t>Solo hace falta si vendes la voz de la dueña. Pon 0 si no. Creator incluye 30 voces clonadas.</t>
  </si>
  <si>
    <t>Dominio, correo, respaldos y otros</t>
  </si>
  <si>
    <t>→ Salones pagando (sale del mes 12 de Mi empresa)</t>
  </si>
  <si>
    <t>salones</t>
  </si>
  <si>
    <t>Se usa solo para repartir los fijos del sistema en la hoja Planes. Cambia los salones en Mi empresa.</t>
  </si>
  <si>
    <t>Costo de una hora de soporte (tu tiempo o el de alguien)</t>
  </si>
  <si>
    <t>RD$ / hora</t>
  </si>
  <si>
    <t>→ Costos fijos totales</t>
  </si>
  <si>
    <t>→ Fijo que le toca a cada salón</t>
  </si>
  <si>
    <t>→ Cuántos pesos cuesta cada dólar de costo (con colchón)</t>
  </si>
  <si>
    <t>→ Qué parte del precio te queda (sin ITBIS ni comisión)</t>
  </si>
  <si>
    <t>Música del Lounge (API de YouTube)</t>
  </si>
  <si>
    <t>Costo mensual de la API de YouTube</t>
  </si>
  <si>
    <t>GRATIS. Google no cobra la YouTube Data API: da una cuota de 10.000 unidades al día por proyecto. Si un día se acaba, la música de ese día deja de encontrar canciones nuevas (lo ya guardado sigue sonando).</t>
  </si>
  <si>
    <t>Cuota diaria gratis (compartida por TODOS los salones)</t>
  </si>
  <si>
    <t>unidades / día</t>
  </si>
  <si>
    <t>Es por proyecto de Google, no por salón. Se puede pedir más cuota gratis (formulario de auditoría de Google), tarda semanas: pídela antes de necesitarla.</t>
  </si>
  <si>
    <t>Unidades que gasta cada búsqueda</t>
  </si>
  <si>
    <t>unidades</t>
  </si>
  <si>
    <t>search.list = 100 unidades. Lalan guarda 25 canciones por cada gusto y solo vuelve a buscar cada 21 días; lo que más gasta son las búsquedas de las clientas en el QR de pedir canciones. Ver hoja Planes.</t>
  </si>
  <si>
    <t>Arranque de la empresa</t>
  </si>
  <si>
    <t>Primer mes de la proyección</t>
  </si>
  <si>
    <t>fecha</t>
  </si>
  <si>
    <t>El mes 1 de la hoja Mi empresa.</t>
  </si>
  <si>
    <t>Dinero que pones tú al empezar</t>
  </si>
  <si>
    <t>Lo que tienes guardado para arrancar. La hoja Resumen te dice cuánto hace falta para no quedarte en rojo.</t>
  </si>
  <si>
    <t>Cobro único por instalar y configurar un salón nuevo</t>
  </si>
  <si>
    <t>RD$ por salón</t>
  </si>
  <si>
    <t>Opcional. Con 0 no se cobra. Muchos sistemas cobran una mensualidad por la configuración inicial.</t>
  </si>
  <si>
    <t>Gastos de la empresa · 1 = se incluye, 0 = no (todo se recalcula)</t>
  </si>
  <si>
    <t>¿Incluir tu sueldo?</t>
  </si>
  <si>
    <t>Pagarte un sueldo hace que la ganancia sea de la EMPRESA y no se confunda con lo que tú vives.</t>
  </si>
  <si>
    <t>RD$ / mes</t>
  </si>
  <si>
    <t>EJEMPLO: pon lo tuyo.</t>
  </si>
  <si>
    <t>Desde qué mes te pagas</t>
  </si>
  <si>
    <t>mes n.º</t>
  </si>
  <si>
    <t>1 = desde el primer mes. Si al principio no te pagas, pon 4, 6…</t>
  </si>
  <si>
    <t>¿Incluir asistente (configura salones y atiende a las dueñas)?</t>
  </si>
  <si>
    <t>Sueldo de la asistente</t>
  </si>
  <si>
    <t>EJEMPLO: pon lo que pagarías.</t>
  </si>
  <si>
    <t>Se contrata cuando tengas estos salones pagando</t>
  </si>
  <si>
    <t>Antes de eso lo haces tú. Pon 0 para tenerla desde el mes 1.</t>
  </si>
  <si>
    <t>¿Incluir cargas sociales de los sueldos (TSS + INFOTEP)?</t>
  </si>
  <si>
    <t>Cargas sociales del empleador sobre los sueldos</t>
  </si>
  <si>
    <t>RD 2026: SFS 7,09 % + AFP 7,10 % + riesgos laborales ~1,1-1,4 % + INFOTEP 1 % ≈ 16,7-17 %. Confírmalo con tu contador.</t>
  </si>
  <si>
    <t>¿Incluir publicidad y ventas?</t>
  </si>
  <si>
    <t>Publicidad (anuncios, material)</t>
  </si>
  <si>
    <t>EJEMPLO.</t>
  </si>
  <si>
    <t>Comisión a quien te traiga un salón</t>
  </si>
  <si>
    <t>mensualidades del plan</t>
  </si>
  <si>
    <t>1 = le pagas una vez lo que ese salón paga en un mes. Pon 0 si vendes tú solo.</t>
  </si>
  <si>
    <t>¿Incluir contador?</t>
  </si>
  <si>
    <t>EJEMPLO. Iguala mensual de un contador para una empresa pequeña.</t>
  </si>
  <si>
    <t>¿Incluir impuesto sobre la renta (ISR)?</t>
  </si>
  <si>
    <t>ISR de la empresa sobre la ganancia</t>
  </si>
  <si>
    <t>RD: 27 % para personas jurídicas (Código Tributario, art. 297). Aquí se calcula mes a mes sobre la ganancia, simplificado: en la realidad se paga al cierre del año con anticipos. Confírmalo con tu contador.</t>
  </si>
  <si>
    <t>¿Incluir equipo y herramientas?</t>
  </si>
  <si>
    <t>Suscripciones (correo, dominio, cuentas de desarrollador…)</t>
  </si>
  <si>
    <t>EJEMPLO: Google Workspace ~US$ 7, Apple Developer US$ 99/año ≈ 8/mes, otros.</t>
  </si>
  <si>
    <t>Compra de equipo (una sola vez)</t>
  </si>
  <si>
    <t>Computadora, teléfono de pruebas… Pon el monto y el mes.</t>
  </si>
  <si>
    <t>Mes de la compra</t>
  </si>
  <si>
    <t>Simulador para negociar con un salón</t>
  </si>
  <si>
    <t>Elige el plan de base y cambia lo que estés negociando. Lo demás sale de la hoja Planes y Supuestos.</t>
  </si>
  <si>
    <t>Plan de base (1 = Esencial, 2 = Salón, 3 = Lounge)</t>
  </si>
  <si>
    <t>Plan elegido</t>
  </si>
  <si>
    <t>Precio de lista</t>
  </si>
  <si>
    <t>Descuento que ofreces</t>
  </si>
  <si>
    <t>Ej.: 10 % por pago anual o por ser de las primeras.</t>
  </si>
  <si>
    <t>Precio negociado</t>
  </si>
  <si>
    <t>Mensajes incluidos</t>
  </si>
  <si>
    <t>Para cambiarlo, escribe encima un número.</t>
  </si>
  <si>
    <t>Uso esperado</t>
  </si>
  <si>
    <t>Mensajes del equipo desde la app</t>
  </si>
  <si>
    <t>Respuestas con la voz de la dueña</t>
  </si>
  <si>
    <t>Avisos a la dueña</t>
  </si>
  <si>
    <t>Horas de soporte</t>
  </si>
  <si>
    <t>¿Meta se lo cobra al salón? (1/0)</t>
  </si>
  <si>
    <t>Mensajes atendidos</t>
  </si>
  <si>
    <t>Mensajes que salen por WhatsApp</t>
  </si>
  <si>
    <t>Costo variable (US$)</t>
  </si>
  <si>
    <t>Costo total del mes</t>
  </si>
  <si>
    <t>GANANCIA DEL MES</t>
  </si>
  <si>
    <t>Ganancia en un año con este salón</t>
  </si>
  <si>
    <t>¿Conviene?</t>
  </si>
  <si>
    <t>¿Qué pasa con el margen si algo cambia?</t>
  </si>
  <si>
    <t>Margen de cada plan (hoja Planes) si el dólar sube, si la IA cuesta más, o si la caché no rinde lo esperado. Escribe tus propios factores en las celdas azules.</t>
  </si>
  <si>
    <t>Escenario</t>
  </si>
  <si>
    <t>Factor dólar</t>
  </si>
  <si>
    <t>Factor IA</t>
  </si>
  <si>
    <t>Hoy (supuestos tal cual)</t>
  </si>
  <si>
    <t>El dólar sube 10 %</t>
  </si>
  <si>
    <t>El dólar sube 20 %</t>
  </si>
  <si>
    <t>La IA cuesta el doble (otro modelo o más llamadas)</t>
  </si>
  <si>
    <t>La caché no rinde (IA ~1,55× más cara)</t>
  </si>
  <si>
    <t>Peor caso: dólar +20 % e IA ×2</t>
  </si>
  <si>
    <t>Qué incluye cada plan (propuesta)</t>
  </si>
  <si>
    <t>Borrador para el documento comercial. Cámbialo con libertad: los costos no dependen de este texto.</t>
  </si>
  <si>
    <t>Función</t>
  </si>
  <si>
    <t>Para quién</t>
  </si>
  <si>
    <t>Uñas y locales pequeños</t>
  </si>
  <si>
    <t>Salones con equipo</t>
  </si>
  <si>
    <t>Salones premium y spas</t>
  </si>
  <si>
    <t>Precio mensual</t>
  </si>
  <si>
    <t>Mensajes de clientas al mes</t>
  </si>
  <si>
    <t>Lalan responde en WhatsApp 24/7</t>
  </si>
  <si>
    <t>Sí</t>
  </si>
  <si>
    <t>Entiende notas de voz</t>
  </si>
  <si>
    <t>Agenda, reagenda y cancela sola</t>
  </si>
  <si>
    <t>Aviso a la dueña por WhatsApp</t>
  </si>
  <si>
    <t>Agenda y ficha de clientas</t>
  </si>
  <si>
    <t>Especialistas y zonas</t>
  </si>
  <si>
    <t>Lounge: música y gustos de cada clienta</t>
  </si>
  <si>
    <t>—</t>
  </si>
  <si>
    <t>Bienvenida con sus gustos al llegar</t>
  </si>
  <si>
    <t>Caja y comandas</t>
  </si>
  <si>
    <t>Informes (citas, ganancias, quién agendó)</t>
  </si>
  <si>
    <t>Completo</t>
  </si>
  <si>
    <t>Pantalla de turnos</t>
  </si>
  <si>
    <t>Instagram y Messenger (cuando estén listos)</t>
  </si>
  <si>
    <t>Usuarios del equipo</t>
  </si>
  <si>
    <t>2</t>
  </si>
  <si>
    <t>5</t>
  </si>
  <si>
    <t>Ilimitados</t>
  </si>
  <si>
    <t>Sedes</t>
  </si>
  <si>
    <t>1</t>
  </si>
  <si>
    <t>Hasta 2</t>
  </si>
  <si>
    <t>Por WhatsApp</t>
  </si>
  <si>
    <t>Prioritario</t>
  </si>
  <si>
    <t>De dónde salen los precios (consultados el 26-sep-2026)</t>
  </si>
  <si>
    <t>Tasa del dólar (BCRD)</t>
  </si>
  <si>
    <t>https://acento.com.do/economia/precio-del-dolar-hoy-en-republica-dominicana-tasa-de-compra-y-venta-este-jueves-24-de-septiembre-de-2026-9758215.html</t>
  </si>
  <si>
    <t>gpt-4.1-mini en OpenRouter</t>
  </si>
  <si>
    <t>https://openrouter.ai/openai/gpt-4.1-mini</t>
  </si>
  <si>
    <t>Precios de WhatsApp (Meta)</t>
  </si>
  <si>
    <t>https://developers.facebook.com/documentation/business-messaging/whatsapp/pricing</t>
  </si>
  <si>
    <t>Cobro de mensajes de servicio desde 1-oct-2026</t>
  </si>
  <si>
    <t>https://360dialog.com/blog/whatsapp-service-message-charging-october-2026/</t>
  </si>
  <si>
    <t>Groq Whisper large v3</t>
  </si>
  <si>
    <t>https://console.groq.com/docs/model/whisper-large-v3</t>
  </si>
  <si>
    <t>ElevenLabs (planes y API)</t>
  </si>
  <si>
    <t>https://texttolab.com/blog/elevenlabs-pricing</t>
  </si>
  <si>
    <t>Railway (planes)</t>
  </si>
  <si>
    <t>https://docs.railway.com/pricing/plans</t>
  </si>
  <si>
    <t>YouTube Data API: cuota y costo por llamada</t>
  </si>
  <si>
    <t>https://developers.google.com/youtube/v3/determine_quota_cost</t>
  </si>
  <si>
    <t>YouTube Data API: pedir más cuota</t>
  </si>
  <si>
    <t>https://support.google.com/youtube/contact/yt_api_form</t>
  </si>
  <si>
    <t>Aportes TSS del empleador 2026</t>
  </si>
  <si>
    <t>https://bolsillopractico.com/tramites/aportes-tss-empleador-porcentajes-rd/</t>
  </si>
  <si>
    <t>Estimados sin fuente directa</t>
  </si>
  <si>
    <t>Caché de OpenAI, comisión de OpenRouter, comisión de cobro, costos de servidor, uso por salón: marcados como ESTIMADO o Supuesto en la hoja Supuestos.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</si>
</sst>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RD$&quot;#,##0;&quot;(RD$&quot;#,##0\);\-"/>
    <numFmt numFmtId="165" formatCode="#,##0;\(#,##0\);\-"/>
    <numFmt numFmtId="166" formatCode="0.0%;\(0.0%\);\-"/>
    <numFmt numFmtId="167" formatCode="mmmm\ yyyy"/>
    <numFmt numFmtId="168" formatCode="&quot;RD$ &quot;#,##0;&quot;(RD$ &quot;#,##0\);\-"/>
    <numFmt numFmtId="169" formatCode="mmm\ yyyy"/>
    <numFmt numFmtId="170" formatCode="mmm\ yy"/>
    <numFmt numFmtId="171" formatCode="#,##0.00;\(#,##0.00\);\-"/>
    <numFmt numFmtId="172" formatCode="&quot;US$&quot;#,##0.00;&quot;(US$&quot;#,##0.00\);\-"/>
    <numFmt numFmtId="173" formatCode="&quot;RD$&quot;#,##0.00;&quot;(RD$&quot;#,##0.00\);\-"/>
    <numFmt numFmtId="174" formatCode="#,##0.0"/>
    <numFmt numFmtId="175" formatCode="#,##0.0000"/>
    <numFmt numFmtId="176" formatCode="&quot;US$&quot;#,##0.0000;&quot;(US$&quot;#,##0.0000\);\-"/>
    <numFmt numFmtId="177" formatCode="0.00\×"/>
  </numFmts>
  <fonts count="14" x14ac:knownFonts="1">
    <font>
      <sz val="11"/>
      <color theme="1"/>
      <name val="Calibri"/>
      <family val="2"/>
      <charset val="1"/>
    </font>
    <font>
      <sz val="11"/>
      <color theme="1"/>
      <name val="Arial"/>
      <charset val="1"/>
    </font>
    <font>
      <b/>
      <sz val="16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rgb="FFC0000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4"/>
      <name val="Arial"/>
      <charset val="1"/>
    </font>
    <font>
      <sz val="10"/>
      <name val="Arial"/>
      <family val="2"/>
    </font>
    <font>
      <u/>
      <sz val="10"/>
      <color rgb="FF0563C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7A2E46"/>
        <bgColor rgb="FF555555"/>
      </patternFill>
    </fill>
    <fill>
      <patternFill patternType="solid">
        <fgColor rgb="FFFFFF00"/>
        <bgColor rgb="FFFFFF00"/>
      </patternFill>
    </fill>
    <fill>
      <patternFill patternType="solid">
        <fgColor rgb="FFF6EEF1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0" borderId="0" xfId="0" applyFont="1" applyBorder="1"/>
    <xf numFmtId="0" fontId="5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0" fontId="6" fillId="3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5" fillId="0" borderId="1" xfId="0" applyFont="1" applyBorder="1"/>
    <xf numFmtId="164" fontId="7" fillId="0" borderId="1" xfId="0" applyNumberFormat="1" applyFont="1" applyBorder="1"/>
    <xf numFmtId="0" fontId="3" fillId="0" borderId="1" xfId="0" applyFont="1" applyBorder="1"/>
    <xf numFmtId="0" fontId="9" fillId="0" borderId="1" xfId="0" applyFont="1" applyBorder="1"/>
    <xf numFmtId="164" fontId="9" fillId="0" borderId="1" xfId="0" applyNumberFormat="1" applyFont="1" applyBorder="1"/>
    <xf numFmtId="0" fontId="9" fillId="0" borderId="0" xfId="0" applyFont="1" applyAlignment="1">
      <alignment vertical="top"/>
    </xf>
    <xf numFmtId="0" fontId="9" fillId="0" borderId="0" xfId="0" applyFont="1"/>
    <xf numFmtId="165" fontId="10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vertical="top" wrapText="1"/>
    </xf>
    <xf numFmtId="164" fontId="10" fillId="0" borderId="1" xfId="0" applyNumberFormat="1" applyFont="1" applyBorder="1" applyAlignment="1">
      <alignment horizontal="right"/>
    </xf>
    <xf numFmtId="166" fontId="10" fillId="0" borderId="1" xfId="0" applyNumberFormat="1" applyFont="1" applyBorder="1" applyAlignment="1">
      <alignment horizontal="right"/>
    </xf>
    <xf numFmtId="167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164" fontId="5" fillId="0" borderId="1" xfId="0" applyNumberFormat="1" applyFont="1" applyBorder="1"/>
    <xf numFmtId="168" fontId="5" fillId="0" borderId="1" xfId="0" applyNumberFormat="1" applyFont="1" applyBorder="1"/>
    <xf numFmtId="169" fontId="7" fillId="0" borderId="1" xfId="0" applyNumberFormat="1" applyFont="1" applyBorder="1"/>
    <xf numFmtId="165" fontId="7" fillId="0" borderId="1" xfId="0" applyNumberFormat="1" applyFont="1" applyBorder="1"/>
    <xf numFmtId="0" fontId="11" fillId="0" borderId="0" xfId="0" applyFont="1"/>
    <xf numFmtId="0" fontId="4" fillId="2" borderId="0" xfId="0" applyFont="1" applyFill="1" applyAlignment="1">
      <alignment horizontal="center"/>
    </xf>
    <xf numFmtId="170" fontId="4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5" fontId="9" fillId="4" borderId="1" xfId="0" applyNumberFormat="1" applyFont="1" applyFill="1" applyBorder="1"/>
    <xf numFmtId="165" fontId="6" fillId="3" borderId="1" xfId="0" applyNumberFormat="1" applyFont="1" applyFill="1" applyBorder="1"/>
    <xf numFmtId="165" fontId="5" fillId="0" borderId="1" xfId="0" applyNumberFormat="1" applyFont="1" applyBorder="1"/>
    <xf numFmtId="165" fontId="9" fillId="0" borderId="1" xfId="0" applyNumberFormat="1" applyFont="1" applyBorder="1"/>
    <xf numFmtId="164" fontId="9" fillId="4" borderId="1" xfId="0" applyNumberFormat="1" applyFont="1" applyFill="1" applyBorder="1"/>
    <xf numFmtId="166" fontId="9" fillId="4" borderId="1" xfId="0" applyNumberFormat="1" applyFont="1" applyFill="1" applyBorder="1"/>
    <xf numFmtId="166" fontId="5" fillId="0" borderId="1" xfId="0" applyNumberFormat="1" applyFont="1" applyBorder="1"/>
    <xf numFmtId="1" fontId="9" fillId="4" borderId="1" xfId="0" applyNumberFormat="1" applyFont="1" applyFill="1" applyBorder="1"/>
    <xf numFmtId="1" fontId="3" fillId="0" borderId="1" xfId="0" applyNumberFormat="1" applyFont="1" applyBorder="1"/>
    <xf numFmtId="164" fontId="6" fillId="3" borderId="1" xfId="0" applyNumberFormat="1" applyFont="1" applyFill="1" applyBorder="1"/>
    <xf numFmtId="166" fontId="6" fillId="3" borderId="1" xfId="0" applyNumberFormat="1" applyFont="1" applyFill="1" applyBorder="1"/>
    <xf numFmtId="171" fontId="6" fillId="3" borderId="1" xfId="0" applyNumberFormat="1" applyFont="1" applyFill="1" applyBorder="1"/>
    <xf numFmtId="1" fontId="6" fillId="3" borderId="1" xfId="0" applyNumberFormat="1" applyFont="1" applyFill="1" applyBorder="1"/>
    <xf numFmtId="165" fontId="1" fillId="0" borderId="1" xfId="0" applyNumberFormat="1" applyFont="1" applyBorder="1"/>
    <xf numFmtId="172" fontId="5" fillId="0" borderId="1" xfId="0" applyNumberFormat="1" applyFont="1" applyBorder="1"/>
    <xf numFmtId="172" fontId="9" fillId="0" borderId="1" xfId="0" applyNumberFormat="1" applyFont="1" applyBorder="1"/>
    <xf numFmtId="173" fontId="5" fillId="0" borderId="1" xfId="0" applyNumberFormat="1" applyFont="1" applyBorder="1"/>
    <xf numFmtId="174" fontId="5" fillId="0" borderId="1" xfId="0" applyNumberFormat="1" applyFont="1" applyBorder="1"/>
    <xf numFmtId="175" fontId="6" fillId="3" borderId="1" xfId="0" applyNumberFormat="1" applyFont="1" applyFill="1" applyBorder="1"/>
    <xf numFmtId="172" fontId="6" fillId="3" borderId="1" xfId="0" applyNumberFormat="1" applyFont="1" applyFill="1" applyBorder="1"/>
    <xf numFmtId="0" fontId="9" fillId="4" borderId="1" xfId="0" applyFont="1" applyFill="1" applyBorder="1"/>
    <xf numFmtId="176" fontId="5" fillId="4" borderId="1" xfId="0" applyNumberFormat="1" applyFont="1" applyFill="1" applyBorder="1"/>
    <xf numFmtId="0" fontId="3" fillId="4" borderId="1" xfId="0" applyFont="1" applyFill="1" applyBorder="1"/>
    <xf numFmtId="176" fontId="6" fillId="3" borderId="1" xfId="0" applyNumberFormat="1" applyFont="1" applyFill="1" applyBorder="1"/>
    <xf numFmtId="171" fontId="5" fillId="4" borderId="1" xfId="0" applyNumberFormat="1" applyFont="1" applyFill="1" applyBorder="1"/>
    <xf numFmtId="165" fontId="7" fillId="4" borderId="1" xfId="0" applyNumberFormat="1" applyFont="1" applyFill="1" applyBorder="1"/>
    <xf numFmtId="172" fontId="5" fillId="4" borderId="1" xfId="0" applyNumberFormat="1" applyFont="1" applyFill="1" applyBorder="1"/>
    <xf numFmtId="4" fontId="5" fillId="4" borderId="1" xfId="0" applyNumberFormat="1" applyFont="1" applyFill="1" applyBorder="1"/>
    <xf numFmtId="166" fontId="5" fillId="4" borderId="1" xfId="0" applyNumberFormat="1" applyFont="1" applyFill="1" applyBorder="1"/>
    <xf numFmtId="169" fontId="6" fillId="3" borderId="1" xfId="0" applyNumberFormat="1" applyFont="1" applyFill="1" applyBorder="1"/>
    <xf numFmtId="49" fontId="5" fillId="0" borderId="1" xfId="0" applyNumberFormat="1" applyFont="1" applyBorder="1"/>
    <xf numFmtId="166" fontId="9" fillId="0" borderId="1" xfId="0" applyNumberFormat="1" applyFont="1" applyBorder="1"/>
    <xf numFmtId="49" fontId="9" fillId="0" borderId="1" xfId="0" applyNumberFormat="1" applyFont="1" applyBorder="1"/>
    <xf numFmtId="177" fontId="6" fillId="3" borderId="0" xfId="0" applyNumberFormat="1" applyFont="1" applyFill="1"/>
    <xf numFmtId="166" fontId="5" fillId="0" borderId="0" xfId="0" applyNumberFormat="1" applyFont="1"/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13" fillId="0" borderId="0" xfId="0" applyFont="1"/>
  </cellXfs>
  <cellStyles count="1">
    <cellStyle name="Normal" xfId="0" builtinId="0"/>
  </cellStyles>
  <dxfs count="8"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ill>
        <patternFill>
          <bgColor rgb="FFFCE3B0"/>
        </patternFill>
      </fill>
    </dxf>
    <dxf>
      <fill>
        <patternFill>
          <bgColor rgb="FFF4B6B6"/>
        </patternFill>
      </fill>
    </dxf>
    <dxf>
      <font>
        <b/>
        <color rgb="FFC00000"/>
        <name val="Arial"/>
        <charset val="1"/>
      </font>
    </dxf>
    <dxf>
      <font>
        <b/>
        <sz val="12"/>
        <color rgb="FFC00000"/>
        <name val="Arial"/>
        <charset val="1"/>
      </font>
    </dxf>
    <dxf>
      <font>
        <b/>
        <sz val="12"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A2E46"/>
      <rgbColor rgb="FFF6EEF1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4B6B6"/>
      <rgbColor rgb="FFCC99FF"/>
      <rgbColor rgb="FFFCE3B0"/>
      <rgbColor rgb="FF4F81BD"/>
      <rgbColor rgb="FF33CCCC"/>
      <rgbColor rgb="FF98B855"/>
      <rgbColor rgb="FFFFCC00"/>
      <rgbColor rgb="FFFF9900"/>
      <rgbColor rgb="FFFF6600"/>
      <rgbColor rgb="FF4A7EBB"/>
      <rgbColor rgb="FF9BBB59"/>
      <rgbColor rgb="FF003366"/>
      <rgbColor rgb="FF339966"/>
      <rgbColor rgb="FF003300"/>
      <rgbColor rgb="FF333300"/>
      <rgbColor rgb="FFC0504D"/>
      <rgbColor rgb="FFBE4B48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 que entra vs. lo que sale (RD$)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Resumen!$C$27</c:f>
              <c:strCache>
                <c:ptCount val="1"/>
                <c:pt idx="0">
                  <c:v>Ingreso neto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Resumen!$A$28:$A$39</c:f>
              <c:numCache>
                <c:formatCode>mmm\ yyyy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Resumen!$C$28:$C$39</c:f>
              <c:numCache>
                <c:formatCode>"RD$"#,##0;"(RD$"#,##0\);\-</c:formatCode>
                <c:ptCount val="12"/>
                <c:pt idx="0">
                  <c:v>1614.9152542372881</c:v>
                </c:pt>
                <c:pt idx="1">
                  <c:v>3229.8305084745762</c:v>
                </c:pt>
                <c:pt idx="2">
                  <c:v>5247.4576271186443</c:v>
                </c:pt>
                <c:pt idx="3">
                  <c:v>9697.6271186440681</c:v>
                </c:pt>
                <c:pt idx="4">
                  <c:v>12524.745762711866</c:v>
                </c:pt>
                <c:pt idx="5">
                  <c:v>18187.118644067799</c:v>
                </c:pt>
                <c:pt idx="6">
                  <c:v>21819.661016949154</c:v>
                </c:pt>
                <c:pt idx="7">
                  <c:v>27482.033898305086</c:v>
                </c:pt>
                <c:pt idx="8">
                  <c:v>29902.372881355932</c:v>
                </c:pt>
                <c:pt idx="9">
                  <c:v>35967.457627118645</c:v>
                </c:pt>
                <c:pt idx="10">
                  <c:v>42842.03389830509</c:v>
                </c:pt>
                <c:pt idx="11">
                  <c:v>50119.322033898308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9C-4067-8454-9C3ADF5E968A}"/>
            </c:ext>
          </c:extLst>
        </c:ser>
        <c:ser>
          <c:idx val="1"/>
          <c:order val="1"/>
          <c:tx>
            <c:strRef>
              <c:f>Resumen!$D$27</c:f>
              <c:strCache>
                <c:ptCount val="1"/>
                <c:pt idx="0">
                  <c:v>Todo lo que sale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Resumen!$A$28:$A$39</c:f>
              <c:numCache>
                <c:formatCode>mmm\ yyyy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Resumen!$D$28:$D$39</c:f>
              <c:numCache>
                <c:formatCode>"RD$"#,##0;"(RD$"#,##0\);\-</c:formatCode>
                <c:ptCount val="12"/>
                <c:pt idx="0">
                  <c:v>7755.8842318420711</c:v>
                </c:pt>
                <c:pt idx="1">
                  <c:v>8016.4563836841417</c:v>
                </c:pt>
                <c:pt idx="2">
                  <c:v>8338.8592156243303</c:v>
                </c:pt>
                <c:pt idx="3">
                  <c:v>10711.252536657543</c:v>
                </c:pt>
                <c:pt idx="4">
                  <c:v>11170.566160243565</c:v>
                </c:pt>
                <c:pt idx="5">
                  <c:v>12328.88858502073</c:v>
                </c:pt>
                <c:pt idx="6">
                  <c:v>12911.86356880299</c:v>
                </c:pt>
                <c:pt idx="7">
                  <c:v>14070.185993580155</c:v>
                </c:pt>
                <c:pt idx="8">
                  <c:v>14454.419505618462</c:v>
                </c:pt>
                <c:pt idx="9">
                  <c:v>15674.572610493742</c:v>
                </c:pt>
                <c:pt idx="10">
                  <c:v>17031.63650701486</c:v>
                </c:pt>
                <c:pt idx="11">
                  <c:v>18450.531083634094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9C-4067-8454-9C3ADF5E968A}"/>
            </c:ext>
          </c:extLst>
        </c:ser>
        <c:ser>
          <c:idx val="2"/>
          <c:order val="2"/>
          <c:tx>
            <c:strRef>
              <c:f>Resumen!$E$27</c:f>
              <c:strCache>
                <c:ptCount val="1"/>
                <c:pt idx="0">
                  <c:v>Ganancia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Resumen!$A$28:$A$39</c:f>
              <c:numCache>
                <c:formatCode>mmm\ yyyy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Resumen!$E$28:$E$39</c:f>
              <c:numCache>
                <c:formatCode>"RD$"#,##0;"(RD$"#,##0\);\-</c:formatCode>
                <c:ptCount val="12"/>
                <c:pt idx="0">
                  <c:v>-6140.9689776047835</c:v>
                </c:pt>
                <c:pt idx="1">
                  <c:v>-4786.6258752095655</c:v>
                </c:pt>
                <c:pt idx="2">
                  <c:v>-3091.401588505686</c:v>
                </c:pt>
                <c:pt idx="3">
                  <c:v>-1013.6254180134747</c:v>
                </c:pt>
                <c:pt idx="4">
                  <c:v>988.55110980185964</c:v>
                </c:pt>
                <c:pt idx="5">
                  <c:v>4276.5079431043605</c:v>
                </c:pt>
                <c:pt idx="6">
                  <c:v>6502.6921371466997</c:v>
                </c:pt>
                <c:pt idx="7">
                  <c:v>9790.6489704491996</c:v>
                </c:pt>
                <c:pt idx="8">
                  <c:v>11277.005964288353</c:v>
                </c:pt>
                <c:pt idx="9">
                  <c:v>14813.80606213618</c:v>
                </c:pt>
                <c:pt idx="10">
                  <c:v>18841.590095641866</c:v>
                </c:pt>
                <c:pt idx="11">
                  <c:v>23118.217393692874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B9C-4067-8454-9C3ADF5E9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278299"/>
        <c:axId val="60365210"/>
      </c:lineChart>
      <c:dateAx>
        <c:axId val="25278299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365210"/>
        <c:crosses val="autoZero"/>
        <c:auto val="1"/>
        <c:lblOffset val="100"/>
        <c:baseTimeUnit val="months"/>
      </c:dateAx>
      <c:valAx>
        <c:axId val="60365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782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Salones pagando por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Esencial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'Mi empresa'!$C$4:$N$4</c:f>
              <c:numCache>
                <c:formatCode>mmm\ 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'Mi empresa'!$C$14:$N$14</c:f>
              <c:numCache>
                <c:formatCode>#,##0;\(#,##0\);\-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17</c:v>
                </c:pt>
                <c:pt idx="9">
                  <c:v>20</c:v>
                </c:pt>
                <c:pt idx="10">
                  <c:v>22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5-4E4E-9F8A-78580A3BE6AD}"/>
            </c:ext>
          </c:extLst>
        </c:ser>
        <c:ser>
          <c:idx val="1"/>
          <c:order val="1"/>
          <c:tx>
            <c:v>Salón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'Mi empresa'!$C$4:$N$4</c:f>
              <c:numCache>
                <c:formatCode>mmm\ 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'Mi empresa'!$C$15:$N$15</c:f>
              <c:numCache>
                <c:formatCode>#,##0;\(#,##0\);\-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13</c:v>
                </c:pt>
                <c:pt idx="9">
                  <c:v>15</c:v>
                </c:pt>
                <c:pt idx="10">
                  <c:v>18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95-4E4E-9F8A-78580A3BE6AD}"/>
            </c:ext>
          </c:extLst>
        </c:ser>
        <c:ser>
          <c:idx val="2"/>
          <c:order val="2"/>
          <c:tx>
            <c:v>Lounge</c:v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'Mi empresa'!$C$4:$N$4</c:f>
              <c:numCache>
                <c:formatCode>mmm\ 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'Mi empresa'!$C$16:$N$16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95-4E4E-9F8A-78580A3BE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58997"/>
        <c:axId val="88222065"/>
      </c:barChart>
      <c:dateAx>
        <c:axId val="70758997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222065"/>
        <c:crosses val="autoZero"/>
        <c:auto val="1"/>
        <c:lblOffset val="100"/>
        <c:baseTimeUnit val="months"/>
      </c:dateAx>
      <c:valAx>
        <c:axId val="88222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7589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131040</xdr:rowOff>
    </xdr:from>
    <xdr:to>
      <xdr:col>17</xdr:col>
      <xdr:colOff>364680</xdr:colOff>
      <xdr:row>16</xdr:row>
      <xdr:rowOff>156960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134640</xdr:rowOff>
    </xdr:from>
    <xdr:to>
      <xdr:col>17</xdr:col>
      <xdr:colOff>364680</xdr:colOff>
      <xdr:row>34</xdr:row>
      <xdr:rowOff>156960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s.google.com/youtube/v3/determine_quota_cost" TargetMode="External"/><Relationship Id="rId3" Type="http://schemas.openxmlformats.org/officeDocument/2006/relationships/hyperlink" Target="https://developers.facebook.com/documentation/business-messaging/whatsapp/pricing" TargetMode="External"/><Relationship Id="rId7" Type="http://schemas.openxmlformats.org/officeDocument/2006/relationships/hyperlink" Target="https://docs.railway.com/pricing/plans" TargetMode="External"/><Relationship Id="rId2" Type="http://schemas.openxmlformats.org/officeDocument/2006/relationships/hyperlink" Target="https://openrouter.ai/openai/gpt-4.1-mini" TargetMode="External"/><Relationship Id="rId1" Type="http://schemas.openxmlformats.org/officeDocument/2006/relationships/hyperlink" Target="https://acento.com.do/economia/precio-del-dolar-hoy-en-republica-dominicana-tasa-de-compra-y-venta-este-jueves-24-de-septiembre-de-2026-9758215.html" TargetMode="External"/><Relationship Id="rId6" Type="http://schemas.openxmlformats.org/officeDocument/2006/relationships/hyperlink" Target="https://texttolab.com/blog/elevenlabs-pricing" TargetMode="External"/><Relationship Id="rId5" Type="http://schemas.openxmlformats.org/officeDocument/2006/relationships/hyperlink" Target="https://console.groq.com/docs/model/whisper-large-v3" TargetMode="External"/><Relationship Id="rId10" Type="http://schemas.openxmlformats.org/officeDocument/2006/relationships/hyperlink" Target="https://bolsillopractico.com/tramites/aportes-tss-empleador-porcentajes-rd/" TargetMode="External"/><Relationship Id="rId4" Type="http://schemas.openxmlformats.org/officeDocument/2006/relationships/hyperlink" Target="https://360dialog.com/blog/whatsapp-service-message-charging-october-2026/" TargetMode="External"/><Relationship Id="rId9" Type="http://schemas.openxmlformats.org/officeDocument/2006/relationships/hyperlink" Target="https://support.google.com/youtube/contact/yt_api_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8"/>
  <sheetViews>
    <sheetView topLeftCell="A7" zoomScaleNormal="100" workbookViewId="0">
      <selection activeCell="B25" sqref="B25"/>
    </sheetView>
  </sheetViews>
  <sheetFormatPr baseColWidth="10" defaultColWidth="8.7109375" defaultRowHeight="15" x14ac:dyDescent="0.25"/>
  <cols>
    <col min="1" max="1" width="4" customWidth="1"/>
    <col min="2" max="2" width="58" customWidth="1"/>
    <col min="3" max="3" width="20" customWidth="1"/>
    <col min="4" max="4" width="60" customWidth="1"/>
  </cols>
  <sheetData>
    <row r="1" spans="1:4" ht="20.25" x14ac:dyDescent="0.3">
      <c r="A1" s="3"/>
      <c r="B1" s="4" t="s">
        <v>0</v>
      </c>
      <c r="C1" s="3"/>
      <c r="D1" s="3"/>
    </row>
    <row r="2" spans="1:4" x14ac:dyDescent="0.25">
      <c r="A2" s="3"/>
      <c r="B2" s="5" t="s">
        <v>1</v>
      </c>
      <c r="C2" s="3"/>
      <c r="D2" s="3"/>
    </row>
    <row r="3" spans="1:4" x14ac:dyDescent="0.25">
      <c r="A3" s="3"/>
      <c r="B3" s="3"/>
      <c r="C3" s="3"/>
      <c r="D3" s="3"/>
    </row>
    <row r="4" spans="1:4" x14ac:dyDescent="0.25">
      <c r="A4" s="6" t="s">
        <v>2</v>
      </c>
      <c r="B4" s="7"/>
      <c r="C4" s="7"/>
      <c r="D4" s="7"/>
    </row>
    <row r="5" spans="1:4" ht="30" customHeight="1" x14ac:dyDescent="0.25">
      <c r="A5" s="3"/>
      <c r="B5" s="2" t="s">
        <v>3</v>
      </c>
      <c r="C5" s="2"/>
      <c r="D5" s="2"/>
    </row>
    <row r="6" spans="1:4" ht="18" customHeight="1" x14ac:dyDescent="0.25">
      <c r="A6" s="3"/>
      <c r="B6" s="2" t="s">
        <v>4</v>
      </c>
      <c r="C6" s="2"/>
      <c r="D6" s="2"/>
    </row>
    <row r="7" spans="1:4" ht="30" customHeight="1" x14ac:dyDescent="0.25">
      <c r="A7" s="3"/>
      <c r="B7" s="2" t="s">
        <v>5</v>
      </c>
      <c r="C7" s="2"/>
      <c r="D7" s="2"/>
    </row>
    <row r="8" spans="1:4" x14ac:dyDescent="0.25">
      <c r="A8" s="3"/>
      <c r="B8" s="3"/>
      <c r="C8" s="3"/>
      <c r="D8" s="3"/>
    </row>
    <row r="9" spans="1:4" x14ac:dyDescent="0.25">
      <c r="A9" s="6" t="s">
        <v>6</v>
      </c>
      <c r="B9" s="7"/>
      <c r="C9" s="7"/>
      <c r="D9" s="7"/>
    </row>
    <row r="10" spans="1:4" x14ac:dyDescent="0.25">
      <c r="A10" s="3"/>
      <c r="B10" s="8" t="s">
        <v>7</v>
      </c>
      <c r="C10" s="3"/>
      <c r="D10" s="3"/>
    </row>
    <row r="11" spans="1:4" x14ac:dyDescent="0.25">
      <c r="A11" s="3"/>
      <c r="B11" s="9" t="s">
        <v>8</v>
      </c>
      <c r="C11" s="3"/>
      <c r="D11" s="3"/>
    </row>
    <row r="12" spans="1:4" x14ac:dyDescent="0.25">
      <c r="A12" s="3"/>
      <c r="B12" s="10" t="s">
        <v>9</v>
      </c>
      <c r="C12" s="3"/>
      <c r="D12" s="3"/>
    </row>
    <row r="13" spans="1:4" x14ac:dyDescent="0.25">
      <c r="A13" s="3"/>
      <c r="B13" s="11" t="s">
        <v>10</v>
      </c>
      <c r="C13" s="3"/>
      <c r="D13" s="3"/>
    </row>
    <row r="14" spans="1:4" x14ac:dyDescent="0.25">
      <c r="A14" s="3"/>
      <c r="B14" s="3"/>
      <c r="C14" s="3"/>
      <c r="D14" s="3"/>
    </row>
    <row r="15" spans="1:4" x14ac:dyDescent="0.25">
      <c r="A15" s="6" t="s">
        <v>11</v>
      </c>
      <c r="B15" s="7"/>
      <c r="C15" s="7"/>
      <c r="D15" s="7"/>
    </row>
    <row r="16" spans="1:4" x14ac:dyDescent="0.25">
      <c r="A16" s="3"/>
      <c r="B16" s="12" t="s">
        <v>12</v>
      </c>
      <c r="C16" s="13">
        <f>Planes!C6</f>
        <v>1490</v>
      </c>
      <c r="D16" s="14"/>
    </row>
    <row r="17" spans="1:4" x14ac:dyDescent="0.25">
      <c r="A17" s="3"/>
      <c r="B17" s="12" t="s">
        <v>13</v>
      </c>
      <c r="C17" s="13">
        <f>Planes!C6-Planes!C31</f>
        <v>277.79661016949149</v>
      </c>
      <c r="D17" s="14" t="s">
        <v>14</v>
      </c>
    </row>
    <row r="18" spans="1:4" x14ac:dyDescent="0.25">
      <c r="A18" s="3"/>
      <c r="B18" s="12" t="s">
        <v>15</v>
      </c>
      <c r="C18" s="13">
        <f>Planes!C27</f>
        <v>198.74147174395199</v>
      </c>
      <c r="D18" s="14" t="s">
        <v>16</v>
      </c>
    </row>
    <row r="19" spans="1:4" x14ac:dyDescent="0.25">
      <c r="A19" s="3"/>
      <c r="B19" s="15" t="s">
        <v>17</v>
      </c>
      <c r="C19" s="16">
        <f>Planes!C31-Planes!C27</f>
        <v>1013.4619180865566</v>
      </c>
      <c r="D19" s="14" t="s">
        <v>18</v>
      </c>
    </row>
    <row r="20" spans="1:4" x14ac:dyDescent="0.25">
      <c r="A20" s="3"/>
      <c r="B20" s="3"/>
      <c r="C20" s="3"/>
      <c r="D20" s="3"/>
    </row>
    <row r="21" spans="1:4" x14ac:dyDescent="0.25">
      <c r="A21" s="6" t="s">
        <v>19</v>
      </c>
      <c r="B21" s="7"/>
      <c r="C21" s="7"/>
      <c r="D21" s="7"/>
    </row>
    <row r="22" spans="1:4" ht="30" customHeight="1" x14ac:dyDescent="0.25">
      <c r="A22" s="3"/>
      <c r="B22" s="17" t="s">
        <v>20</v>
      </c>
      <c r="C22" s="2" t="s">
        <v>21</v>
      </c>
      <c r="D22" s="2"/>
    </row>
    <row r="23" spans="1:4" ht="30" customHeight="1" x14ac:dyDescent="0.25">
      <c r="A23" s="3"/>
      <c r="B23" s="17" t="s">
        <v>22</v>
      </c>
      <c r="C23" s="2" t="s">
        <v>23</v>
      </c>
      <c r="D23" s="2"/>
    </row>
    <row r="24" spans="1:4" ht="30" customHeight="1" x14ac:dyDescent="0.25">
      <c r="A24" s="3"/>
      <c r="B24" s="17" t="s">
        <v>24</v>
      </c>
      <c r="C24" s="2" t="s">
        <v>25</v>
      </c>
      <c r="D24" s="2"/>
    </row>
    <row r="25" spans="1:4" ht="30" customHeight="1" x14ac:dyDescent="0.25">
      <c r="A25" s="3"/>
      <c r="B25" s="17" t="s">
        <v>26</v>
      </c>
      <c r="C25" s="2" t="s">
        <v>27</v>
      </c>
      <c r="D25" s="2"/>
    </row>
    <row r="26" spans="1:4" ht="30" customHeight="1" x14ac:dyDescent="0.25">
      <c r="A26" s="3"/>
      <c r="B26" s="17" t="s">
        <v>28</v>
      </c>
      <c r="C26" s="2" t="s">
        <v>29</v>
      </c>
      <c r="D26" s="2"/>
    </row>
    <row r="27" spans="1:4" ht="30" customHeight="1" x14ac:dyDescent="0.25">
      <c r="A27" s="3"/>
      <c r="B27" s="17" t="s">
        <v>30</v>
      </c>
      <c r="C27" s="2" t="s">
        <v>31</v>
      </c>
      <c r="D27" s="2"/>
    </row>
    <row r="28" spans="1:4" ht="30" customHeight="1" x14ac:dyDescent="0.25">
      <c r="A28" s="3"/>
      <c r="B28" s="17" t="s">
        <v>32</v>
      </c>
      <c r="C28" s="2" t="s">
        <v>33</v>
      </c>
      <c r="D28" s="2"/>
    </row>
    <row r="29" spans="1:4" ht="30" customHeight="1" x14ac:dyDescent="0.25">
      <c r="A29" s="3"/>
      <c r="B29" s="17" t="s">
        <v>34</v>
      </c>
      <c r="C29" s="2" t="s">
        <v>35</v>
      </c>
      <c r="D29" s="2"/>
    </row>
    <row r="30" spans="1:4" ht="30" customHeight="1" x14ac:dyDescent="0.25">
      <c r="A30" s="3"/>
      <c r="B30" s="17" t="s">
        <v>36</v>
      </c>
      <c r="C30" s="2" t="s">
        <v>37</v>
      </c>
      <c r="D30" s="2"/>
    </row>
    <row r="31" spans="1:4" x14ac:dyDescent="0.25">
      <c r="A31" s="3"/>
      <c r="B31" s="3"/>
      <c r="C31" s="3"/>
      <c r="D31" s="3"/>
    </row>
    <row r="32" spans="1:4" x14ac:dyDescent="0.25">
      <c r="A32" s="6" t="s">
        <v>38</v>
      </c>
      <c r="B32" s="7"/>
      <c r="C32" s="7"/>
      <c r="D32" s="7"/>
    </row>
    <row r="33" spans="1:4" x14ac:dyDescent="0.25">
      <c r="A33" s="3"/>
      <c r="B33" s="18" t="s">
        <v>39</v>
      </c>
      <c r="C33" s="1" t="s">
        <v>40</v>
      </c>
      <c r="D33" s="1"/>
    </row>
    <row r="34" spans="1:4" x14ac:dyDescent="0.25">
      <c r="A34" s="3"/>
      <c r="B34" s="18" t="s">
        <v>41</v>
      </c>
      <c r="C34" s="1" t="s">
        <v>42</v>
      </c>
      <c r="D34" s="1"/>
    </row>
    <row r="35" spans="1:4" x14ac:dyDescent="0.25">
      <c r="A35" s="3"/>
      <c r="B35" s="18" t="s">
        <v>43</v>
      </c>
      <c r="C35" s="1" t="s">
        <v>44</v>
      </c>
      <c r="D35" s="1"/>
    </row>
    <row r="36" spans="1:4" x14ac:dyDescent="0.25">
      <c r="A36" s="3"/>
      <c r="B36" s="18" t="s">
        <v>45</v>
      </c>
      <c r="C36" s="1" t="s">
        <v>46</v>
      </c>
      <c r="D36" s="1"/>
    </row>
    <row r="37" spans="1:4" x14ac:dyDescent="0.25">
      <c r="A37" s="3"/>
      <c r="B37" s="18" t="s">
        <v>47</v>
      </c>
      <c r="C37" s="1" t="s">
        <v>48</v>
      </c>
      <c r="D37" s="1"/>
    </row>
    <row r="38" spans="1:4" x14ac:dyDescent="0.25">
      <c r="A38" s="3"/>
      <c r="B38" s="18" t="s">
        <v>49</v>
      </c>
      <c r="C38" s="1" t="s">
        <v>50</v>
      </c>
      <c r="D38" s="1"/>
    </row>
  </sheetData>
  <mergeCells count="18">
    <mergeCell ref="C36:D36"/>
    <mergeCell ref="C37:D37"/>
    <mergeCell ref="C38:D38"/>
    <mergeCell ref="C29:D29"/>
    <mergeCell ref="C30:D30"/>
    <mergeCell ref="C33:D33"/>
    <mergeCell ref="C34:D34"/>
    <mergeCell ref="C35:D35"/>
    <mergeCell ref="C24:D24"/>
    <mergeCell ref="C25:D25"/>
    <mergeCell ref="C26:D26"/>
    <mergeCell ref="C27:D27"/>
    <mergeCell ref="C28:D28"/>
    <mergeCell ref="B5:D5"/>
    <mergeCell ref="B6:D6"/>
    <mergeCell ref="B7:D7"/>
    <mergeCell ref="C22:D22"/>
    <mergeCell ref="C23:D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9"/>
  <sheetViews>
    <sheetView zoomScaleNormal="100" workbookViewId="0">
      <selection activeCell="B5" sqref="B5"/>
    </sheetView>
  </sheetViews>
  <sheetFormatPr baseColWidth="10" defaultColWidth="8.7109375" defaultRowHeight="15" x14ac:dyDescent="0.25"/>
  <cols>
    <col min="1" max="1" width="46" customWidth="1"/>
    <col min="2" max="2" width="20" customWidth="1"/>
    <col min="3" max="3" width="66" customWidth="1"/>
    <col min="4" max="6" width="16" customWidth="1"/>
  </cols>
  <sheetData>
    <row r="1" spans="1:6" ht="20.25" x14ac:dyDescent="0.3">
      <c r="A1" s="4" t="s">
        <v>51</v>
      </c>
      <c r="B1" s="3"/>
      <c r="C1" s="3"/>
      <c r="D1" s="3"/>
      <c r="E1" s="3"/>
      <c r="F1" s="3"/>
    </row>
    <row r="2" spans="1:6" x14ac:dyDescent="0.25">
      <c r="A2" s="5" t="s">
        <v>52</v>
      </c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6" t="s">
        <v>53</v>
      </c>
      <c r="B4" s="7"/>
      <c r="C4" s="7"/>
      <c r="D4" s="3"/>
      <c r="E4" s="3"/>
      <c r="F4" s="3"/>
    </row>
    <row r="5" spans="1:6" ht="15.75" x14ac:dyDescent="0.25">
      <c r="A5" s="12" t="s">
        <v>54</v>
      </c>
      <c r="B5" s="19">
        <f>'Mi empresa'!N17</f>
        <v>52</v>
      </c>
      <c r="C5" s="20"/>
      <c r="D5" s="3"/>
      <c r="E5" s="3"/>
      <c r="F5" s="3"/>
    </row>
    <row r="6" spans="1:6" ht="15.75" x14ac:dyDescent="0.25">
      <c r="A6" s="12" t="s">
        <v>55</v>
      </c>
      <c r="B6" s="21">
        <f>'Mi empresa'!B27</f>
        <v>258634.57627118647</v>
      </c>
      <c r="C6" s="20" t="s">
        <v>56</v>
      </c>
      <c r="D6" s="3"/>
      <c r="E6" s="3"/>
      <c r="F6" s="3"/>
    </row>
    <row r="7" spans="1:6" ht="15.75" x14ac:dyDescent="0.25">
      <c r="A7" s="12" t="s">
        <v>57</v>
      </c>
      <c r="B7" s="21">
        <f>'Mi empresa'!B54</f>
        <v>150915.11638221669</v>
      </c>
      <c r="C7" s="20" t="s">
        <v>58</v>
      </c>
      <c r="D7" s="3"/>
      <c r="E7" s="3"/>
      <c r="F7" s="3"/>
    </row>
    <row r="8" spans="1:6" ht="15.75" x14ac:dyDescent="0.25">
      <c r="A8" s="12" t="s">
        <v>59</v>
      </c>
      <c r="B8" s="21">
        <f>'Mi empresa'!B57</f>
        <v>74576.397816927885</v>
      </c>
      <c r="C8" s="20"/>
      <c r="D8" s="3"/>
      <c r="E8" s="3"/>
      <c r="F8" s="3"/>
    </row>
    <row r="9" spans="1:6" ht="15.75" x14ac:dyDescent="0.25">
      <c r="A9" s="12" t="s">
        <v>60</v>
      </c>
      <c r="B9" s="22">
        <f>'Mi empresa'!B58</f>
        <v>0.28834658881313763</v>
      </c>
      <c r="C9" s="20" t="s">
        <v>61</v>
      </c>
      <c r="D9" s="3"/>
      <c r="E9" s="3"/>
      <c r="F9" s="3"/>
    </row>
    <row r="10" spans="1:6" ht="15.75" x14ac:dyDescent="0.25">
      <c r="A10" s="12" t="s">
        <v>62</v>
      </c>
      <c r="B10" s="21">
        <f>'Mi empresa'!N57</f>
        <v>23118.217393692874</v>
      </c>
      <c r="C10" s="20" t="s">
        <v>63</v>
      </c>
      <c r="D10" s="3"/>
      <c r="E10" s="3"/>
      <c r="F10" s="3"/>
    </row>
    <row r="11" spans="1:6" ht="15.75" x14ac:dyDescent="0.25">
      <c r="A11" s="12" t="s">
        <v>64</v>
      </c>
      <c r="B11" s="23">
        <f>IFERROR(INDEX('Mi empresa'!$C$4:$N$4,1,MATCH(1,'Mi empresa'!$C$60:$N$60,0)),"Todavía no")</f>
        <v>46419</v>
      </c>
      <c r="C11" s="20" t="s">
        <v>65</v>
      </c>
      <c r="D11" s="3"/>
      <c r="E11" s="3"/>
      <c r="F11" s="3"/>
    </row>
    <row r="12" spans="1:6" ht="24" x14ac:dyDescent="0.25">
      <c r="A12" s="12" t="s">
        <v>66</v>
      </c>
      <c r="B12" s="21">
        <f>MAX(0,CapitalInicial-MIN('Mi empresa'!$C$59:$N$59))</f>
        <v>15032.621859333511</v>
      </c>
      <c r="C12" s="20" t="s">
        <v>67</v>
      </c>
      <c r="D12" s="3"/>
      <c r="E12" s="3"/>
      <c r="F12" s="3"/>
    </row>
    <row r="13" spans="1:6" ht="15.75" x14ac:dyDescent="0.25">
      <c r="A13" s="12" t="s">
        <v>68</v>
      </c>
      <c r="B13" s="21">
        <f>'Mi empresa'!N59</f>
        <v>74576.397816927885</v>
      </c>
      <c r="C13" s="20"/>
      <c r="D13" s="3"/>
      <c r="E13" s="3"/>
      <c r="F13" s="3"/>
    </row>
    <row r="14" spans="1:6" ht="24" x14ac:dyDescent="0.25">
      <c r="A14" s="12" t="s">
        <v>69</v>
      </c>
      <c r="B14" s="24">
        <f>IF(('Mi empresa'!N27-'Mi empresa'!N33)&gt;0,('Mi empresa'!N40+'Mi empresa'!N51-'Mi empresa'!N47)/(('Mi empresa'!N27-'Mi empresa'!N33)/'Mi empresa'!N17),0)</f>
        <v>11.415911405523337</v>
      </c>
      <c r="C14" s="20" t="s">
        <v>70</v>
      </c>
      <c r="D14" s="3"/>
      <c r="E14" s="3"/>
      <c r="F14" s="3"/>
    </row>
    <row r="15" spans="1:6" ht="24" x14ac:dyDescent="0.25">
      <c r="A15" s="12" t="s">
        <v>71</v>
      </c>
      <c r="B15" s="22">
        <f>'Mi empresa'!N64</f>
        <v>1.95</v>
      </c>
      <c r="C15" s="20" t="s">
        <v>72</v>
      </c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6" t="s">
        <v>73</v>
      </c>
      <c r="B17" s="6" t="s">
        <v>74</v>
      </c>
      <c r="C17" s="6" t="s">
        <v>75</v>
      </c>
      <c r="D17" s="3"/>
      <c r="E17" s="3"/>
      <c r="F17" s="3"/>
    </row>
    <row r="18" spans="1:6" x14ac:dyDescent="0.25">
      <c r="A18" s="12" t="s">
        <v>76</v>
      </c>
      <c r="B18" s="25">
        <f>'Mi empresa'!B33</f>
        <v>48256.060110216684</v>
      </c>
      <c r="C18" s="26">
        <f>IF('Mi empresa'!$B$27&gt;0,B18/'Mi empresa'!$B$27*100,0)</f>
        <v>18.658008069121699</v>
      </c>
      <c r="D18" s="3"/>
      <c r="E18" s="3"/>
      <c r="F18" s="3"/>
    </row>
    <row r="19" spans="1:6" x14ac:dyDescent="0.25">
      <c r="A19" s="12" t="s">
        <v>77</v>
      </c>
      <c r="B19" s="25">
        <f>'Mi empresa'!B40</f>
        <v>51246.557711999994</v>
      </c>
      <c r="C19" s="26">
        <f>IF('Mi empresa'!$B$27&gt;0,B19/'Mi empresa'!$B$27*100,0)</f>
        <v>19.814271722999006</v>
      </c>
      <c r="D19" s="3"/>
      <c r="E19" s="3"/>
      <c r="F19" s="3"/>
    </row>
    <row r="20" spans="1:6" x14ac:dyDescent="0.25">
      <c r="A20" s="12" t="s">
        <v>78</v>
      </c>
      <c r="B20" s="25">
        <f>'Mi empresa'!B43+'Mi empresa'!B44+'Mi empresa'!B45</f>
        <v>0</v>
      </c>
      <c r="C20" s="26">
        <f>IF('Mi empresa'!$B$27&gt;0,B20/'Mi empresa'!$B$27*100,0)</f>
        <v>0</v>
      </c>
      <c r="D20" s="3"/>
      <c r="E20" s="3"/>
      <c r="F20" s="3"/>
    </row>
    <row r="21" spans="1:6" x14ac:dyDescent="0.25">
      <c r="A21" s="12" t="s">
        <v>79</v>
      </c>
      <c r="B21" s="25">
        <f>'Mi empresa'!B46+'Mi empresa'!B47</f>
        <v>36000</v>
      </c>
      <c r="C21" s="26">
        <f>IF('Mi empresa'!$B$27&gt;0,B21/'Mi empresa'!$B$27*100,0)</f>
        <v>13.919252606910867</v>
      </c>
      <c r="D21" s="3"/>
      <c r="E21" s="3"/>
      <c r="F21" s="3"/>
    </row>
    <row r="22" spans="1:6" x14ac:dyDescent="0.25">
      <c r="A22" s="12" t="s">
        <v>80</v>
      </c>
      <c r="B22" s="25">
        <f>'Mi empresa'!B48+'Mi empresa'!B49+'Mi empresa'!B50</f>
        <v>15412.498559999998</v>
      </c>
      <c r="C22" s="26">
        <f>IF('Mi empresa'!$B$27&gt;0,B22/'Mi empresa'!$B$27*100,0)</f>
        <v>5.9591794655636106</v>
      </c>
      <c r="D22" s="3"/>
      <c r="E22" s="3"/>
      <c r="F22" s="3"/>
    </row>
    <row r="23" spans="1:6" x14ac:dyDescent="0.25">
      <c r="A23" s="12" t="s">
        <v>81</v>
      </c>
      <c r="B23" s="25">
        <f>'Mi empresa'!B56</f>
        <v>33143.062072041888</v>
      </c>
      <c r="C23" s="26">
        <f>IF('Mi empresa'!$B$27&gt;0,B23/'Mi empresa'!$B$27*100,0)</f>
        <v>12.81462925409105</v>
      </c>
      <c r="D23" s="3"/>
      <c r="E23" s="3"/>
      <c r="F23" s="3"/>
    </row>
    <row r="24" spans="1:6" x14ac:dyDescent="0.25">
      <c r="A24" s="15" t="s">
        <v>82</v>
      </c>
      <c r="B24" s="25">
        <f>'Mi empresa'!B57</f>
        <v>74576.397816927885</v>
      </c>
      <c r="C24" s="26">
        <f>IF('Mi empresa'!$B$27&gt;0,B24/'Mi empresa'!$B$27*100,0)</f>
        <v>28.834658881313764</v>
      </c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6" t="s">
        <v>83</v>
      </c>
      <c r="B26" s="7"/>
      <c r="C26" s="7"/>
      <c r="D26" s="3"/>
      <c r="E26" s="3"/>
      <c r="F26" s="3"/>
    </row>
    <row r="27" spans="1:6" x14ac:dyDescent="0.25">
      <c r="A27" s="15" t="s">
        <v>84</v>
      </c>
      <c r="B27" s="15" t="s">
        <v>85</v>
      </c>
      <c r="C27" s="15" t="s">
        <v>20</v>
      </c>
      <c r="D27" s="15" t="s">
        <v>86</v>
      </c>
      <c r="E27" s="15" t="s">
        <v>28</v>
      </c>
      <c r="F27" s="15" t="s">
        <v>32</v>
      </c>
    </row>
    <row r="28" spans="1:6" x14ac:dyDescent="0.25">
      <c r="A28" s="27">
        <f>'Mi empresa'!C4</f>
        <v>46296</v>
      </c>
      <c r="B28" s="28">
        <f>'Mi empresa'!C17</f>
        <v>2</v>
      </c>
      <c r="C28" s="13">
        <f>'Mi empresa'!C27</f>
        <v>1614.9152542372881</v>
      </c>
      <c r="D28" s="13">
        <f>'Mi empresa'!C54</f>
        <v>7755.8842318420711</v>
      </c>
      <c r="E28" s="13">
        <f>'Mi empresa'!C57</f>
        <v>-6140.9689776047835</v>
      </c>
      <c r="F28" s="13">
        <f>'Mi empresa'!C59</f>
        <v>-6140.9689776047835</v>
      </c>
    </row>
    <row r="29" spans="1:6" x14ac:dyDescent="0.25">
      <c r="A29" s="27">
        <f>'Mi empresa'!D4</f>
        <v>46327</v>
      </c>
      <c r="B29" s="28">
        <f>'Mi empresa'!D17</f>
        <v>4</v>
      </c>
      <c r="C29" s="13">
        <f>'Mi empresa'!D27</f>
        <v>3229.8305084745762</v>
      </c>
      <c r="D29" s="13">
        <f>'Mi empresa'!D54</f>
        <v>8016.4563836841417</v>
      </c>
      <c r="E29" s="13">
        <f>'Mi empresa'!D57</f>
        <v>-4786.6258752095655</v>
      </c>
      <c r="F29" s="13">
        <f>'Mi empresa'!D59</f>
        <v>-10927.594852814349</v>
      </c>
    </row>
    <row r="30" spans="1:6" x14ac:dyDescent="0.25">
      <c r="A30" s="27">
        <f>'Mi empresa'!E4</f>
        <v>46357</v>
      </c>
      <c r="B30" s="28">
        <f>'Mi empresa'!E17</f>
        <v>7</v>
      </c>
      <c r="C30" s="13">
        <f>'Mi empresa'!E27</f>
        <v>5247.4576271186443</v>
      </c>
      <c r="D30" s="13">
        <f>'Mi empresa'!E54</f>
        <v>8338.8592156243303</v>
      </c>
      <c r="E30" s="13">
        <f>'Mi empresa'!E57</f>
        <v>-3091.401588505686</v>
      </c>
      <c r="F30" s="13">
        <f>'Mi empresa'!E59</f>
        <v>-14018.996441320036</v>
      </c>
    </row>
    <row r="31" spans="1:6" x14ac:dyDescent="0.25">
      <c r="A31" s="27">
        <f>'Mi empresa'!F4</f>
        <v>46388</v>
      </c>
      <c r="B31" s="28">
        <f>'Mi empresa'!F17</f>
        <v>11</v>
      </c>
      <c r="C31" s="13">
        <f>'Mi empresa'!F27</f>
        <v>9697.6271186440681</v>
      </c>
      <c r="D31" s="13">
        <f>'Mi empresa'!F54</f>
        <v>10711.252536657543</v>
      </c>
      <c r="E31" s="13">
        <f>'Mi empresa'!F57</f>
        <v>-1013.6254180134747</v>
      </c>
      <c r="F31" s="13">
        <f>'Mi empresa'!F59</f>
        <v>-15032.621859333511</v>
      </c>
    </row>
    <row r="32" spans="1:6" x14ac:dyDescent="0.25">
      <c r="A32" s="27">
        <f>'Mi empresa'!G4</f>
        <v>46419</v>
      </c>
      <c r="B32" s="28">
        <f>'Mi empresa'!G17</f>
        <v>14</v>
      </c>
      <c r="C32" s="13">
        <f>'Mi empresa'!G27</f>
        <v>12524.745762711866</v>
      </c>
      <c r="D32" s="13">
        <f>'Mi empresa'!G54</f>
        <v>11170.566160243565</v>
      </c>
      <c r="E32" s="13">
        <f>'Mi empresa'!G57</f>
        <v>988.55110980185964</v>
      </c>
      <c r="F32" s="13">
        <f>'Mi empresa'!G59</f>
        <v>-14044.070749531651</v>
      </c>
    </row>
    <row r="33" spans="1:6" x14ac:dyDescent="0.25">
      <c r="A33" s="27">
        <f>'Mi empresa'!H4</f>
        <v>46447</v>
      </c>
      <c r="B33" s="28">
        <f>'Mi empresa'!H17</f>
        <v>19</v>
      </c>
      <c r="C33" s="13">
        <f>'Mi empresa'!H27</f>
        <v>18187.118644067799</v>
      </c>
      <c r="D33" s="13">
        <f>'Mi empresa'!H54</f>
        <v>12328.88858502073</v>
      </c>
      <c r="E33" s="13">
        <f>'Mi empresa'!H57</f>
        <v>4276.5079431043605</v>
      </c>
      <c r="F33" s="13">
        <f>'Mi empresa'!H59</f>
        <v>-9767.5628064272896</v>
      </c>
    </row>
    <row r="34" spans="1:6" x14ac:dyDescent="0.25">
      <c r="A34" s="27">
        <f>'Mi empresa'!I4</f>
        <v>46478</v>
      </c>
      <c r="B34" s="28">
        <f>'Mi empresa'!I17</f>
        <v>24</v>
      </c>
      <c r="C34" s="13">
        <f>'Mi empresa'!I27</f>
        <v>21819.661016949154</v>
      </c>
      <c r="D34" s="13">
        <f>'Mi empresa'!I54</f>
        <v>12911.86356880299</v>
      </c>
      <c r="E34" s="13">
        <f>'Mi empresa'!I57</f>
        <v>6502.6921371466997</v>
      </c>
      <c r="F34" s="13">
        <f>'Mi empresa'!I59</f>
        <v>-3264.8706692805899</v>
      </c>
    </row>
    <row r="35" spans="1:6" x14ac:dyDescent="0.25">
      <c r="A35" s="27">
        <f>'Mi empresa'!J4</f>
        <v>46508</v>
      </c>
      <c r="B35" s="28">
        <f>'Mi empresa'!J17</f>
        <v>29</v>
      </c>
      <c r="C35" s="13">
        <f>'Mi empresa'!J27</f>
        <v>27482.033898305086</v>
      </c>
      <c r="D35" s="13">
        <f>'Mi empresa'!J54</f>
        <v>14070.185993580155</v>
      </c>
      <c r="E35" s="13">
        <f>'Mi empresa'!J57</f>
        <v>9790.6489704491996</v>
      </c>
      <c r="F35" s="13">
        <f>'Mi empresa'!J59</f>
        <v>6525.7783011686097</v>
      </c>
    </row>
    <row r="36" spans="1:6" x14ac:dyDescent="0.25">
      <c r="A36" s="27">
        <f>'Mi empresa'!K4</f>
        <v>46539</v>
      </c>
      <c r="B36" s="28">
        <f>'Mi empresa'!K17</f>
        <v>33</v>
      </c>
      <c r="C36" s="13">
        <f>'Mi empresa'!K27</f>
        <v>29902.372881355932</v>
      </c>
      <c r="D36" s="13">
        <f>'Mi empresa'!K54</f>
        <v>14454.419505618462</v>
      </c>
      <c r="E36" s="13">
        <f>'Mi empresa'!K57</f>
        <v>11277.005964288353</v>
      </c>
      <c r="F36" s="13">
        <f>'Mi empresa'!K59</f>
        <v>17802.784265456961</v>
      </c>
    </row>
    <row r="37" spans="1:6" x14ac:dyDescent="0.25">
      <c r="A37" s="27">
        <f>'Mi empresa'!L4</f>
        <v>46569</v>
      </c>
      <c r="B37" s="28">
        <f>'Mi empresa'!L17</f>
        <v>39</v>
      </c>
      <c r="C37" s="13">
        <f>'Mi empresa'!L27</f>
        <v>35967.457627118645</v>
      </c>
      <c r="D37" s="13">
        <f>'Mi empresa'!L54</f>
        <v>15674.572610493742</v>
      </c>
      <c r="E37" s="13">
        <f>'Mi empresa'!L57</f>
        <v>14813.80606213618</v>
      </c>
      <c r="F37" s="13">
        <f>'Mi empresa'!L59</f>
        <v>32616.590327593141</v>
      </c>
    </row>
    <row r="38" spans="1:6" x14ac:dyDescent="0.25">
      <c r="A38" s="27">
        <f>'Mi empresa'!M4</f>
        <v>46600</v>
      </c>
      <c r="B38" s="28">
        <f>'Mi empresa'!M17</f>
        <v>45</v>
      </c>
      <c r="C38" s="13">
        <f>'Mi empresa'!M27</f>
        <v>42842.03389830509</v>
      </c>
      <c r="D38" s="13">
        <f>'Mi empresa'!M54</f>
        <v>17031.63650701486</v>
      </c>
      <c r="E38" s="13">
        <f>'Mi empresa'!M57</f>
        <v>18841.590095641866</v>
      </c>
      <c r="F38" s="13">
        <f>'Mi empresa'!M59</f>
        <v>51458.180423235011</v>
      </c>
    </row>
    <row r="39" spans="1:6" x14ac:dyDescent="0.25">
      <c r="A39" s="27">
        <f>'Mi empresa'!N4</f>
        <v>46631</v>
      </c>
      <c r="B39" s="28">
        <f>'Mi empresa'!N17</f>
        <v>52</v>
      </c>
      <c r="C39" s="13">
        <f>'Mi empresa'!N27</f>
        <v>50119.322033898308</v>
      </c>
      <c r="D39" s="13">
        <f>'Mi empresa'!N54</f>
        <v>18450.531083634094</v>
      </c>
      <c r="E39" s="13">
        <f>'Mi empresa'!N57</f>
        <v>23118.217393692874</v>
      </c>
      <c r="F39" s="13">
        <f>'Mi empresa'!N59</f>
        <v>74576.397816927885</v>
      </c>
    </row>
  </sheetData>
  <conditionalFormatting sqref="B8">
    <cfRule type="cellIs" dxfId="7" priority="2" operator="lessThan">
      <formula>0</formula>
    </cfRule>
  </conditionalFormatting>
  <conditionalFormatting sqref="B10">
    <cfRule type="cellIs" dxfId="6" priority="3" operator="lessThan">
      <formula>0</formula>
    </cfRule>
  </conditionalFormatting>
  <conditionalFormatting sqref="E28:F39">
    <cfRule type="cellIs" dxfId="5" priority="4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4" sqref="C14"/>
    </sheetView>
  </sheetViews>
  <sheetFormatPr baseColWidth="10" defaultColWidth="8.7109375" defaultRowHeight="15" x14ac:dyDescent="0.25"/>
  <cols>
    <col min="1" max="1" width="50" customWidth="1"/>
    <col min="2" max="2" width="15" customWidth="1"/>
    <col min="3" max="14" width="12" customWidth="1"/>
  </cols>
  <sheetData>
    <row r="1" spans="1:14" ht="18" x14ac:dyDescent="0.25">
      <c r="A1" s="29" t="s">
        <v>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5" t="s">
        <v>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6" t="s">
        <v>89</v>
      </c>
      <c r="B4" s="30" t="s">
        <v>90</v>
      </c>
      <c r="C4" s="31">
        <f>EDATE(PrimerMes,0)</f>
        <v>46296</v>
      </c>
      <c r="D4" s="31">
        <f>EDATE(PrimerMes,1)</f>
        <v>46327</v>
      </c>
      <c r="E4" s="31">
        <f>EDATE(PrimerMes,2)</f>
        <v>46357</v>
      </c>
      <c r="F4" s="31">
        <f>EDATE(PrimerMes,3)</f>
        <v>46388</v>
      </c>
      <c r="G4" s="31">
        <f>EDATE(PrimerMes,4)</f>
        <v>46419</v>
      </c>
      <c r="H4" s="31">
        <f>EDATE(PrimerMes,5)</f>
        <v>46447</v>
      </c>
      <c r="I4" s="31">
        <f>EDATE(PrimerMes,6)</f>
        <v>46478</v>
      </c>
      <c r="J4" s="31">
        <f>EDATE(PrimerMes,7)</f>
        <v>46508</v>
      </c>
      <c r="K4" s="31">
        <f>EDATE(PrimerMes,8)</f>
        <v>46539</v>
      </c>
      <c r="L4" s="31">
        <f>EDATE(PrimerMes,9)</f>
        <v>46569</v>
      </c>
      <c r="M4" s="31">
        <f>EDATE(PrimerMes,10)</f>
        <v>46600</v>
      </c>
      <c r="N4" s="31">
        <f>EDATE(PrimerMes,11)</f>
        <v>46631</v>
      </c>
    </row>
    <row r="5" spans="1:14" x14ac:dyDescent="0.25">
      <c r="A5" s="5" t="s">
        <v>91</v>
      </c>
      <c r="B5" s="3"/>
      <c r="C5" s="32">
        <v>1</v>
      </c>
      <c r="D5" s="32">
        <v>2</v>
      </c>
      <c r="E5" s="32">
        <v>3</v>
      </c>
      <c r="F5" s="32">
        <v>4</v>
      </c>
      <c r="G5" s="32">
        <v>5</v>
      </c>
      <c r="H5" s="32">
        <v>6</v>
      </c>
      <c r="I5" s="32">
        <v>7</v>
      </c>
      <c r="J5" s="32">
        <v>8</v>
      </c>
      <c r="K5" s="32">
        <v>9</v>
      </c>
      <c r="L5" s="32">
        <v>10</v>
      </c>
      <c r="M5" s="32">
        <v>11</v>
      </c>
      <c r="N5" s="32">
        <v>12</v>
      </c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6" t="s">
        <v>85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12" t="s">
        <v>92</v>
      </c>
      <c r="B8" s="33">
        <f t="shared" ref="B8:B13" si="0">SUM(C8:N8)</f>
        <v>28</v>
      </c>
      <c r="C8" s="34">
        <v>1</v>
      </c>
      <c r="D8" s="34">
        <v>1</v>
      </c>
      <c r="E8" s="34">
        <v>2</v>
      </c>
      <c r="F8" s="34">
        <v>2</v>
      </c>
      <c r="G8" s="34">
        <v>2</v>
      </c>
      <c r="H8" s="34">
        <v>2</v>
      </c>
      <c r="I8" s="34">
        <v>3</v>
      </c>
      <c r="J8" s="34">
        <v>3</v>
      </c>
      <c r="K8" s="34">
        <v>3</v>
      </c>
      <c r="L8" s="34">
        <v>3</v>
      </c>
      <c r="M8" s="34">
        <v>3</v>
      </c>
      <c r="N8" s="34">
        <v>3</v>
      </c>
    </row>
    <row r="9" spans="1:14" x14ac:dyDescent="0.25">
      <c r="A9" s="12" t="s">
        <v>93</v>
      </c>
      <c r="B9" s="33">
        <f t="shared" si="0"/>
        <v>22</v>
      </c>
      <c r="C9" s="34">
        <v>1</v>
      </c>
      <c r="D9" s="34">
        <v>1</v>
      </c>
      <c r="E9" s="34">
        <v>1</v>
      </c>
      <c r="F9" s="34">
        <v>1</v>
      </c>
      <c r="G9" s="34">
        <v>2</v>
      </c>
      <c r="H9" s="34">
        <v>2</v>
      </c>
      <c r="I9" s="34">
        <v>2</v>
      </c>
      <c r="J9" s="34">
        <v>2</v>
      </c>
      <c r="K9" s="34">
        <v>2</v>
      </c>
      <c r="L9" s="34">
        <v>2</v>
      </c>
      <c r="M9" s="34">
        <v>3</v>
      </c>
      <c r="N9" s="34">
        <v>3</v>
      </c>
    </row>
    <row r="10" spans="1:14" x14ac:dyDescent="0.25">
      <c r="A10" s="12" t="s">
        <v>94</v>
      </c>
      <c r="B10" s="33">
        <f t="shared" si="0"/>
        <v>6</v>
      </c>
      <c r="C10" s="34">
        <v>0</v>
      </c>
      <c r="D10" s="34">
        <v>0</v>
      </c>
      <c r="E10" s="34">
        <v>0</v>
      </c>
      <c r="F10" s="34">
        <v>1</v>
      </c>
      <c r="G10" s="34">
        <v>0</v>
      </c>
      <c r="H10" s="34">
        <v>1</v>
      </c>
      <c r="I10" s="34">
        <v>0</v>
      </c>
      <c r="J10" s="34">
        <v>1</v>
      </c>
      <c r="K10" s="34">
        <v>0</v>
      </c>
      <c r="L10" s="34">
        <v>1</v>
      </c>
      <c r="M10" s="34">
        <v>1</v>
      </c>
      <c r="N10" s="34">
        <v>1</v>
      </c>
    </row>
    <row r="11" spans="1:14" x14ac:dyDescent="0.25">
      <c r="A11" s="12" t="s">
        <v>95</v>
      </c>
      <c r="B11" s="33">
        <f t="shared" si="0"/>
        <v>3</v>
      </c>
      <c r="C11" s="34">
        <v>0</v>
      </c>
      <c r="D11" s="34">
        <v>0</v>
      </c>
      <c r="E11" s="34">
        <v>0</v>
      </c>
      <c r="F11" s="34">
        <v>0</v>
      </c>
      <c r="G11" s="34">
        <v>1</v>
      </c>
      <c r="H11" s="34">
        <v>0</v>
      </c>
      <c r="I11" s="34">
        <v>0</v>
      </c>
      <c r="J11" s="34">
        <v>1</v>
      </c>
      <c r="K11" s="34">
        <v>0</v>
      </c>
      <c r="L11" s="34">
        <v>0</v>
      </c>
      <c r="M11" s="34">
        <v>1</v>
      </c>
      <c r="N11" s="34">
        <v>0</v>
      </c>
    </row>
    <row r="12" spans="1:14" x14ac:dyDescent="0.25">
      <c r="A12" s="12" t="s">
        <v>96</v>
      </c>
      <c r="B12" s="33">
        <f t="shared" si="0"/>
        <v>1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1</v>
      </c>
      <c r="L12" s="34">
        <v>0</v>
      </c>
      <c r="M12" s="34">
        <v>0</v>
      </c>
      <c r="N12" s="34">
        <v>0</v>
      </c>
    </row>
    <row r="13" spans="1:14" x14ac:dyDescent="0.25">
      <c r="A13" s="12" t="s">
        <v>97</v>
      </c>
      <c r="B13" s="33">
        <f t="shared" si="0"/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</row>
    <row r="14" spans="1:14" x14ac:dyDescent="0.25">
      <c r="A14" s="12" t="s">
        <v>98</v>
      </c>
      <c r="B14" s="33">
        <f>N14</f>
        <v>25</v>
      </c>
      <c r="C14" s="35">
        <f>MAX(0,C8-C11)</f>
        <v>1</v>
      </c>
      <c r="D14" s="35">
        <f t="shared" ref="D14:N14" si="1">MAX(0,C14+D8-D11)</f>
        <v>2</v>
      </c>
      <c r="E14" s="35">
        <f t="shared" si="1"/>
        <v>4</v>
      </c>
      <c r="F14" s="35">
        <f t="shared" si="1"/>
        <v>6</v>
      </c>
      <c r="G14" s="35">
        <f t="shared" si="1"/>
        <v>7</v>
      </c>
      <c r="H14" s="35">
        <f t="shared" si="1"/>
        <v>9</v>
      </c>
      <c r="I14" s="35">
        <f t="shared" si="1"/>
        <v>12</v>
      </c>
      <c r="J14" s="35">
        <f t="shared" si="1"/>
        <v>14</v>
      </c>
      <c r="K14" s="35">
        <f t="shared" si="1"/>
        <v>17</v>
      </c>
      <c r="L14" s="35">
        <f t="shared" si="1"/>
        <v>20</v>
      </c>
      <c r="M14" s="35">
        <f t="shared" si="1"/>
        <v>22</v>
      </c>
      <c r="N14" s="35">
        <f t="shared" si="1"/>
        <v>25</v>
      </c>
    </row>
    <row r="15" spans="1:14" x14ac:dyDescent="0.25">
      <c r="A15" s="12" t="s">
        <v>99</v>
      </c>
      <c r="B15" s="33">
        <f>N15</f>
        <v>21</v>
      </c>
      <c r="C15" s="35">
        <f>MAX(0,C9-C12)</f>
        <v>1</v>
      </c>
      <c r="D15" s="35">
        <f t="shared" ref="D15:N15" si="2">MAX(0,C15+D9-D12)</f>
        <v>2</v>
      </c>
      <c r="E15" s="35">
        <f t="shared" si="2"/>
        <v>3</v>
      </c>
      <c r="F15" s="35">
        <f t="shared" si="2"/>
        <v>4</v>
      </c>
      <c r="G15" s="35">
        <f t="shared" si="2"/>
        <v>6</v>
      </c>
      <c r="H15" s="35">
        <f t="shared" si="2"/>
        <v>8</v>
      </c>
      <c r="I15" s="35">
        <f t="shared" si="2"/>
        <v>10</v>
      </c>
      <c r="J15" s="35">
        <f t="shared" si="2"/>
        <v>12</v>
      </c>
      <c r="K15" s="35">
        <f t="shared" si="2"/>
        <v>13</v>
      </c>
      <c r="L15" s="35">
        <f t="shared" si="2"/>
        <v>15</v>
      </c>
      <c r="M15" s="35">
        <f t="shared" si="2"/>
        <v>18</v>
      </c>
      <c r="N15" s="35">
        <f t="shared" si="2"/>
        <v>21</v>
      </c>
    </row>
    <row r="16" spans="1:14" x14ac:dyDescent="0.25">
      <c r="A16" s="12" t="s">
        <v>100</v>
      </c>
      <c r="B16" s="33">
        <f>N16</f>
        <v>6</v>
      </c>
      <c r="C16" s="35">
        <f>MAX(0,C10-C13)</f>
        <v>0</v>
      </c>
      <c r="D16" s="35">
        <f t="shared" ref="D16:N16" si="3">MAX(0,C16+D10-D13)</f>
        <v>0</v>
      </c>
      <c r="E16" s="35">
        <f t="shared" si="3"/>
        <v>0</v>
      </c>
      <c r="F16" s="35">
        <f t="shared" si="3"/>
        <v>1</v>
      </c>
      <c r="G16" s="35">
        <f t="shared" si="3"/>
        <v>1</v>
      </c>
      <c r="H16" s="35">
        <f t="shared" si="3"/>
        <v>2</v>
      </c>
      <c r="I16" s="35">
        <f t="shared" si="3"/>
        <v>2</v>
      </c>
      <c r="J16" s="35">
        <f t="shared" si="3"/>
        <v>3</v>
      </c>
      <c r="K16" s="35">
        <f t="shared" si="3"/>
        <v>3</v>
      </c>
      <c r="L16" s="35">
        <f t="shared" si="3"/>
        <v>4</v>
      </c>
      <c r="M16" s="35">
        <f t="shared" si="3"/>
        <v>5</v>
      </c>
      <c r="N16" s="35">
        <f t="shared" si="3"/>
        <v>6</v>
      </c>
    </row>
    <row r="17" spans="1:14" x14ac:dyDescent="0.25">
      <c r="A17" s="15" t="s">
        <v>101</v>
      </c>
      <c r="B17" s="33">
        <f>N17</f>
        <v>52</v>
      </c>
      <c r="C17" s="36">
        <f t="shared" ref="C17:N17" si="4">C14+C15+C16</f>
        <v>2</v>
      </c>
      <c r="D17" s="36">
        <f t="shared" si="4"/>
        <v>4</v>
      </c>
      <c r="E17" s="36">
        <f t="shared" si="4"/>
        <v>7</v>
      </c>
      <c r="F17" s="36">
        <f t="shared" si="4"/>
        <v>11</v>
      </c>
      <c r="G17" s="36">
        <f t="shared" si="4"/>
        <v>14</v>
      </c>
      <c r="H17" s="36">
        <f t="shared" si="4"/>
        <v>19</v>
      </c>
      <c r="I17" s="36">
        <f t="shared" si="4"/>
        <v>24</v>
      </c>
      <c r="J17" s="36">
        <f t="shared" si="4"/>
        <v>29</v>
      </c>
      <c r="K17" s="36">
        <f t="shared" si="4"/>
        <v>33</v>
      </c>
      <c r="L17" s="36">
        <f t="shared" si="4"/>
        <v>39</v>
      </c>
      <c r="M17" s="36">
        <f t="shared" si="4"/>
        <v>45</v>
      </c>
      <c r="N17" s="36">
        <f t="shared" si="4"/>
        <v>52</v>
      </c>
    </row>
    <row r="18" spans="1:1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6" t="s">
        <v>102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25">
      <c r="A20" s="12" t="s">
        <v>103</v>
      </c>
      <c r="B20" s="37">
        <f t="shared" ref="B20:B27" si="5">SUM(C20:N20)</f>
        <v>68805</v>
      </c>
      <c r="C20" s="25">
        <f>C14*Planes!$B$6</f>
        <v>495</v>
      </c>
      <c r="D20" s="25">
        <f>D14*Planes!$B$6</f>
        <v>990</v>
      </c>
      <c r="E20" s="25">
        <f>E14*Planes!$B$6</f>
        <v>1980</v>
      </c>
      <c r="F20" s="25">
        <f>F14*Planes!$B$6</f>
        <v>2970</v>
      </c>
      <c r="G20" s="25">
        <f>G14*Planes!$B$6</f>
        <v>3465</v>
      </c>
      <c r="H20" s="25">
        <f>H14*Planes!$B$6</f>
        <v>4455</v>
      </c>
      <c r="I20" s="25">
        <f>I14*Planes!$B$6</f>
        <v>5940</v>
      </c>
      <c r="J20" s="25">
        <f>J14*Planes!$B$6</f>
        <v>6930</v>
      </c>
      <c r="K20" s="25">
        <f>K14*Planes!$B$6</f>
        <v>8415</v>
      </c>
      <c r="L20" s="25">
        <f>L14*Planes!$B$6</f>
        <v>9900</v>
      </c>
      <c r="M20" s="25">
        <f>M14*Planes!$B$6</f>
        <v>10890</v>
      </c>
      <c r="N20" s="25">
        <f>N14*Planes!$B$6</f>
        <v>12375</v>
      </c>
    </row>
    <row r="21" spans="1:14" x14ac:dyDescent="0.25">
      <c r="A21" s="12" t="s">
        <v>104</v>
      </c>
      <c r="B21" s="37">
        <f t="shared" si="5"/>
        <v>168370</v>
      </c>
      <c r="C21" s="25">
        <f>C15*Planes!$C$6</f>
        <v>1490</v>
      </c>
      <c r="D21" s="25">
        <f>D15*Planes!$C$6</f>
        <v>2980</v>
      </c>
      <c r="E21" s="25">
        <f>E15*Planes!$C$6</f>
        <v>4470</v>
      </c>
      <c r="F21" s="25">
        <f>F15*Planes!$C$6</f>
        <v>5960</v>
      </c>
      <c r="G21" s="25">
        <f>G15*Planes!$C$6</f>
        <v>8940</v>
      </c>
      <c r="H21" s="25">
        <f>H15*Planes!$C$6</f>
        <v>11920</v>
      </c>
      <c r="I21" s="25">
        <f>I15*Planes!$C$6</f>
        <v>14900</v>
      </c>
      <c r="J21" s="25">
        <f>J15*Planes!$C$6</f>
        <v>17880</v>
      </c>
      <c r="K21" s="25">
        <f>K15*Planes!$C$6</f>
        <v>19370</v>
      </c>
      <c r="L21" s="25">
        <f>L15*Planes!$C$6</f>
        <v>22350</v>
      </c>
      <c r="M21" s="25">
        <f>M15*Planes!$C$6</f>
        <v>26820</v>
      </c>
      <c r="N21" s="25">
        <f>N15*Planes!$C$6</f>
        <v>31290</v>
      </c>
    </row>
    <row r="22" spans="1:14" x14ac:dyDescent="0.25">
      <c r="A22" s="12" t="s">
        <v>105</v>
      </c>
      <c r="B22" s="37">
        <f t="shared" si="5"/>
        <v>80730</v>
      </c>
      <c r="C22" s="25">
        <f>C16*Planes!$D$6</f>
        <v>0</v>
      </c>
      <c r="D22" s="25">
        <f>D16*Planes!$D$6</f>
        <v>0</v>
      </c>
      <c r="E22" s="25">
        <f>E16*Planes!$D$6</f>
        <v>0</v>
      </c>
      <c r="F22" s="25">
        <f>F16*Planes!$D$6</f>
        <v>2990</v>
      </c>
      <c r="G22" s="25">
        <f>G16*Planes!$D$6</f>
        <v>2990</v>
      </c>
      <c r="H22" s="25">
        <f>H16*Planes!$D$6</f>
        <v>5980</v>
      </c>
      <c r="I22" s="25">
        <f>I16*Planes!$D$6</f>
        <v>5980</v>
      </c>
      <c r="J22" s="25">
        <f>J16*Planes!$D$6</f>
        <v>8970</v>
      </c>
      <c r="K22" s="25">
        <f>K16*Planes!$D$6</f>
        <v>8970</v>
      </c>
      <c r="L22" s="25">
        <f>L16*Planes!$D$6</f>
        <v>11960</v>
      </c>
      <c r="M22" s="25">
        <f>M16*Planes!$D$6</f>
        <v>14950</v>
      </c>
      <c r="N22" s="25">
        <f>N16*Planes!$D$6</f>
        <v>17940</v>
      </c>
    </row>
    <row r="23" spans="1:14" x14ac:dyDescent="0.25">
      <c r="A23" s="12" t="s">
        <v>106</v>
      </c>
      <c r="B23" s="37">
        <f t="shared" si="5"/>
        <v>0</v>
      </c>
      <c r="C23" s="25">
        <f t="shared" ref="C23:N23" si="6">(C8+C9+C10)*CobroInstalacion</f>
        <v>0</v>
      </c>
      <c r="D23" s="25">
        <f t="shared" si="6"/>
        <v>0</v>
      </c>
      <c r="E23" s="25">
        <f t="shared" si="6"/>
        <v>0</v>
      </c>
      <c r="F23" s="25">
        <f t="shared" si="6"/>
        <v>0</v>
      </c>
      <c r="G23" s="25">
        <f t="shared" si="6"/>
        <v>0</v>
      </c>
      <c r="H23" s="25">
        <f t="shared" si="6"/>
        <v>0</v>
      </c>
      <c r="I23" s="25">
        <f t="shared" si="6"/>
        <v>0</v>
      </c>
      <c r="J23" s="25">
        <f t="shared" si="6"/>
        <v>0</v>
      </c>
      <c r="K23" s="25">
        <f t="shared" si="6"/>
        <v>0</v>
      </c>
      <c r="L23" s="25">
        <f t="shared" si="6"/>
        <v>0</v>
      </c>
      <c r="M23" s="25">
        <f t="shared" si="6"/>
        <v>0</v>
      </c>
      <c r="N23" s="25">
        <f t="shared" si="6"/>
        <v>0</v>
      </c>
    </row>
    <row r="24" spans="1:14" x14ac:dyDescent="0.25">
      <c r="A24" s="15" t="s">
        <v>107</v>
      </c>
      <c r="B24" s="37">
        <f t="shared" si="5"/>
        <v>317905</v>
      </c>
      <c r="C24" s="16">
        <f t="shared" ref="C24:N24" si="7">SUM(C20:C23)</f>
        <v>1985</v>
      </c>
      <c r="D24" s="16">
        <f t="shared" si="7"/>
        <v>3970</v>
      </c>
      <c r="E24" s="16">
        <f t="shared" si="7"/>
        <v>6450</v>
      </c>
      <c r="F24" s="16">
        <f t="shared" si="7"/>
        <v>11920</v>
      </c>
      <c r="G24" s="16">
        <f t="shared" si="7"/>
        <v>15395</v>
      </c>
      <c r="H24" s="16">
        <f t="shared" si="7"/>
        <v>22355</v>
      </c>
      <c r="I24" s="16">
        <f t="shared" si="7"/>
        <v>26820</v>
      </c>
      <c r="J24" s="16">
        <f t="shared" si="7"/>
        <v>33780</v>
      </c>
      <c r="K24" s="16">
        <f t="shared" si="7"/>
        <v>36755</v>
      </c>
      <c r="L24" s="16">
        <f t="shared" si="7"/>
        <v>44210</v>
      </c>
      <c r="M24" s="16">
        <f t="shared" si="7"/>
        <v>52660</v>
      </c>
      <c r="N24" s="16">
        <f t="shared" si="7"/>
        <v>61605</v>
      </c>
    </row>
    <row r="25" spans="1:14" x14ac:dyDescent="0.25">
      <c r="A25" s="12" t="s">
        <v>108</v>
      </c>
      <c r="B25" s="37">
        <f t="shared" si="5"/>
        <v>48493.983050847441</v>
      </c>
      <c r="C25" s="25">
        <f t="shared" ref="C25:N25" si="8">C24-C24/(1+ITBIS*IncluyeITBIS)</f>
        <v>302.79661016949149</v>
      </c>
      <c r="D25" s="25">
        <f t="shared" si="8"/>
        <v>605.59322033898297</v>
      </c>
      <c r="E25" s="25">
        <f t="shared" si="8"/>
        <v>983.89830508474552</v>
      </c>
      <c r="F25" s="25">
        <f t="shared" si="8"/>
        <v>1818.3050847457616</v>
      </c>
      <c r="G25" s="25">
        <f t="shared" si="8"/>
        <v>2348.3898305084731</v>
      </c>
      <c r="H25" s="25">
        <f t="shared" si="8"/>
        <v>3410.0847457627096</v>
      </c>
      <c r="I25" s="25">
        <f t="shared" si="8"/>
        <v>4091.1864406779641</v>
      </c>
      <c r="J25" s="25">
        <f t="shared" si="8"/>
        <v>5152.8813559322007</v>
      </c>
      <c r="K25" s="25">
        <f t="shared" si="8"/>
        <v>5606.6949152542365</v>
      </c>
      <c r="L25" s="25">
        <f t="shared" si="8"/>
        <v>6743.8983050847455</v>
      </c>
      <c r="M25" s="25">
        <f t="shared" si="8"/>
        <v>8032.8813559322007</v>
      </c>
      <c r="N25" s="25">
        <f t="shared" si="8"/>
        <v>9397.3728813559283</v>
      </c>
    </row>
    <row r="26" spans="1:14" x14ac:dyDescent="0.25">
      <c r="A26" s="12" t="s">
        <v>109</v>
      </c>
      <c r="B26" s="37">
        <f t="shared" si="5"/>
        <v>10776.440677966102</v>
      </c>
      <c r="C26" s="25">
        <f t="shared" ref="C26:N26" si="9">(C24-C25)*ComisionCobro</f>
        <v>67.288135593220346</v>
      </c>
      <c r="D26" s="25">
        <f t="shared" si="9"/>
        <v>134.57627118644069</v>
      </c>
      <c r="E26" s="25">
        <f t="shared" si="9"/>
        <v>218.64406779661019</v>
      </c>
      <c r="F26" s="25">
        <f t="shared" si="9"/>
        <v>404.06779661016952</v>
      </c>
      <c r="G26" s="25">
        <f t="shared" si="9"/>
        <v>521.86440677966107</v>
      </c>
      <c r="H26" s="25">
        <f t="shared" si="9"/>
        <v>757.7966101694916</v>
      </c>
      <c r="I26" s="25">
        <f t="shared" si="9"/>
        <v>909.1525423728815</v>
      </c>
      <c r="J26" s="25">
        <f t="shared" si="9"/>
        <v>1145.0847457627119</v>
      </c>
      <c r="K26" s="25">
        <f t="shared" si="9"/>
        <v>1245.9322033898306</v>
      </c>
      <c r="L26" s="25">
        <f t="shared" si="9"/>
        <v>1498.6440677966102</v>
      </c>
      <c r="M26" s="25">
        <f t="shared" si="9"/>
        <v>1785.0847457627119</v>
      </c>
      <c r="N26" s="25">
        <f t="shared" si="9"/>
        <v>2088.305084745763</v>
      </c>
    </row>
    <row r="27" spans="1:14" x14ac:dyDescent="0.25">
      <c r="A27" s="15" t="s">
        <v>110</v>
      </c>
      <c r="B27" s="37">
        <f t="shared" si="5"/>
        <v>258634.57627118647</v>
      </c>
      <c r="C27" s="37">
        <f t="shared" ref="C27:N27" si="10">C24-C25-C26</f>
        <v>1614.9152542372881</v>
      </c>
      <c r="D27" s="37">
        <f t="shared" si="10"/>
        <v>3229.8305084745762</v>
      </c>
      <c r="E27" s="37">
        <f t="shared" si="10"/>
        <v>5247.4576271186443</v>
      </c>
      <c r="F27" s="37">
        <f t="shared" si="10"/>
        <v>9697.6271186440681</v>
      </c>
      <c r="G27" s="37">
        <f t="shared" si="10"/>
        <v>12524.745762711866</v>
      </c>
      <c r="H27" s="37">
        <f t="shared" si="10"/>
        <v>18187.118644067799</v>
      </c>
      <c r="I27" s="37">
        <f t="shared" si="10"/>
        <v>21819.661016949154</v>
      </c>
      <c r="J27" s="37">
        <f t="shared" si="10"/>
        <v>27482.033898305086</v>
      </c>
      <c r="K27" s="37">
        <f t="shared" si="10"/>
        <v>29902.372881355932</v>
      </c>
      <c r="L27" s="37">
        <f t="shared" si="10"/>
        <v>35967.457627118645</v>
      </c>
      <c r="M27" s="37">
        <f t="shared" si="10"/>
        <v>42842.03389830509</v>
      </c>
      <c r="N27" s="37">
        <f t="shared" si="10"/>
        <v>50119.322033898308</v>
      </c>
    </row>
    <row r="28" spans="1:1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6" t="s">
        <v>111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25">
      <c r="A30" s="12" t="s">
        <v>112</v>
      </c>
      <c r="B30" s="37">
        <f>SUM(C30:N30)</f>
        <v>8594.4645336384565</v>
      </c>
      <c r="C30" s="25">
        <f>C14*Planes!$B$27</f>
        <v>61.830680098118393</v>
      </c>
      <c r="D30" s="25">
        <f>D14*Planes!$B$27</f>
        <v>123.66136019623679</v>
      </c>
      <c r="E30" s="25">
        <f>E14*Planes!$B$27</f>
        <v>247.32272039247357</v>
      </c>
      <c r="F30" s="25">
        <f>F14*Planes!$B$27</f>
        <v>370.98408058871036</v>
      </c>
      <c r="G30" s="25">
        <f>G14*Planes!$B$27</f>
        <v>432.81476068682878</v>
      </c>
      <c r="H30" s="25">
        <f>H14*Planes!$B$27</f>
        <v>556.47612088306551</v>
      </c>
      <c r="I30" s="25">
        <f>I14*Planes!$B$27</f>
        <v>741.96816117742071</v>
      </c>
      <c r="J30" s="25">
        <f>J14*Planes!$B$27</f>
        <v>865.62952137365755</v>
      </c>
      <c r="K30" s="25">
        <f>K14*Planes!$B$27</f>
        <v>1051.1215616680126</v>
      </c>
      <c r="L30" s="25">
        <f>L14*Planes!$B$27</f>
        <v>1236.6136019623677</v>
      </c>
      <c r="M30" s="25">
        <f>M14*Planes!$B$27</f>
        <v>1360.2749621586047</v>
      </c>
      <c r="N30" s="25">
        <f>N14*Planes!$B$27</f>
        <v>1545.7670024529598</v>
      </c>
    </row>
    <row r="31" spans="1:14" x14ac:dyDescent="0.25">
      <c r="A31" s="12" t="s">
        <v>113</v>
      </c>
      <c r="B31" s="37">
        <f>SUM(C31:N31)</f>
        <v>22457.786307066577</v>
      </c>
      <c r="C31" s="25">
        <f>C15*Planes!$C$27</f>
        <v>198.74147174395199</v>
      </c>
      <c r="D31" s="25">
        <f>D15*Planes!$C$27</f>
        <v>397.48294348790398</v>
      </c>
      <c r="E31" s="25">
        <f>E15*Planes!$C$27</f>
        <v>596.22441523185603</v>
      </c>
      <c r="F31" s="25">
        <f>F15*Planes!$C$27</f>
        <v>794.96588697580796</v>
      </c>
      <c r="G31" s="25">
        <f>G15*Planes!$C$27</f>
        <v>1192.4488304637121</v>
      </c>
      <c r="H31" s="25">
        <f>H15*Planes!$C$27</f>
        <v>1589.9317739516159</v>
      </c>
      <c r="I31" s="25">
        <f>I15*Planes!$C$27</f>
        <v>1987.4147174395198</v>
      </c>
      <c r="J31" s="25">
        <f>J15*Planes!$C$27</f>
        <v>2384.8976609274241</v>
      </c>
      <c r="K31" s="25">
        <f>K15*Planes!$C$27</f>
        <v>2583.639132671376</v>
      </c>
      <c r="L31" s="25">
        <f>L15*Planes!$C$27</f>
        <v>2981.1220761592799</v>
      </c>
      <c r="M31" s="25">
        <f>M15*Planes!$C$27</f>
        <v>3577.3464913911357</v>
      </c>
      <c r="N31" s="25">
        <f>N15*Planes!$C$27</f>
        <v>4173.570906622992</v>
      </c>
    </row>
    <row r="32" spans="1:14" x14ac:dyDescent="0.25">
      <c r="A32" s="12" t="s">
        <v>114</v>
      </c>
      <c r="B32" s="37">
        <f>SUM(C32:N32)</f>
        <v>17203.80926951165</v>
      </c>
      <c r="C32" s="25">
        <f>C16*Planes!$D$27</f>
        <v>0</v>
      </c>
      <c r="D32" s="25">
        <f>D16*Planes!$D$27</f>
        <v>0</v>
      </c>
      <c r="E32" s="25">
        <f>E16*Planes!$D$27</f>
        <v>0</v>
      </c>
      <c r="F32" s="25">
        <f>F16*Planes!$D$27</f>
        <v>637.17812109302406</v>
      </c>
      <c r="G32" s="25">
        <f>G16*Planes!$D$27</f>
        <v>637.17812109302406</v>
      </c>
      <c r="H32" s="25">
        <f>H16*Planes!$D$27</f>
        <v>1274.3562421860481</v>
      </c>
      <c r="I32" s="25">
        <f>I16*Planes!$D$27</f>
        <v>1274.3562421860481</v>
      </c>
      <c r="J32" s="25">
        <f>J16*Planes!$D$27</f>
        <v>1911.5343632790723</v>
      </c>
      <c r="K32" s="25">
        <f>K16*Planes!$D$27</f>
        <v>1911.5343632790723</v>
      </c>
      <c r="L32" s="25">
        <f>L16*Planes!$D$27</f>
        <v>2548.7124843720962</v>
      </c>
      <c r="M32" s="25">
        <f>M16*Planes!$D$27</f>
        <v>3185.8906054651202</v>
      </c>
      <c r="N32" s="25">
        <f>N16*Planes!$D$27</f>
        <v>3823.0687265581446</v>
      </c>
    </row>
    <row r="33" spans="1:14" x14ac:dyDescent="0.25">
      <c r="A33" s="15" t="s">
        <v>115</v>
      </c>
      <c r="B33" s="37">
        <f>SUM(C33:N33)</f>
        <v>48256.060110216684</v>
      </c>
      <c r="C33" s="16">
        <f t="shared" ref="C33:N33" si="11">SUM(C30:C32)</f>
        <v>260.57215184207041</v>
      </c>
      <c r="D33" s="16">
        <f t="shared" si="11"/>
        <v>521.14430368414082</v>
      </c>
      <c r="E33" s="16">
        <f t="shared" si="11"/>
        <v>843.5471356243296</v>
      </c>
      <c r="F33" s="16">
        <f t="shared" si="11"/>
        <v>1803.1280886575423</v>
      </c>
      <c r="G33" s="16">
        <f t="shared" si="11"/>
        <v>2262.4417122435648</v>
      </c>
      <c r="H33" s="16">
        <f t="shared" si="11"/>
        <v>3420.7641370207293</v>
      </c>
      <c r="I33" s="16">
        <f t="shared" si="11"/>
        <v>4003.7391208029885</v>
      </c>
      <c r="J33" s="16">
        <f t="shared" si="11"/>
        <v>5162.0615455801544</v>
      </c>
      <c r="K33" s="16">
        <f t="shared" si="11"/>
        <v>5546.2950576184612</v>
      </c>
      <c r="L33" s="16">
        <f t="shared" si="11"/>
        <v>6766.4481624937434</v>
      </c>
      <c r="M33" s="16">
        <f t="shared" si="11"/>
        <v>8123.5120590148599</v>
      </c>
      <c r="N33" s="16">
        <f t="shared" si="11"/>
        <v>9542.4066356340954</v>
      </c>
    </row>
    <row r="34" spans="1:1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6" t="s">
        <v>116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25">
      <c r="A36" s="12" t="s">
        <v>117</v>
      </c>
      <c r="B36" s="37">
        <f>SUM(C36:N36)</f>
        <v>30824.997119999996</v>
      </c>
      <c r="C36" s="25">
        <f t="shared" ref="C36:N36" si="12">(FijoServidor+FijoN8n)*FactorCambio</f>
        <v>2568.7497600000002</v>
      </c>
      <c r="D36" s="25">
        <f t="shared" si="12"/>
        <v>2568.7497600000002</v>
      </c>
      <c r="E36" s="25">
        <f t="shared" si="12"/>
        <v>2568.7497600000002</v>
      </c>
      <c r="F36" s="25">
        <f t="shared" si="12"/>
        <v>2568.7497600000002</v>
      </c>
      <c r="G36" s="25">
        <f t="shared" si="12"/>
        <v>2568.7497600000002</v>
      </c>
      <c r="H36" s="25">
        <f t="shared" si="12"/>
        <v>2568.7497600000002</v>
      </c>
      <c r="I36" s="25">
        <f t="shared" si="12"/>
        <v>2568.7497600000002</v>
      </c>
      <c r="J36" s="25">
        <f t="shared" si="12"/>
        <v>2568.7497600000002</v>
      </c>
      <c r="K36" s="25">
        <f t="shared" si="12"/>
        <v>2568.7497600000002</v>
      </c>
      <c r="L36" s="25">
        <f t="shared" si="12"/>
        <v>2568.7497600000002</v>
      </c>
      <c r="M36" s="25">
        <f t="shared" si="12"/>
        <v>2568.7497600000002</v>
      </c>
      <c r="N36" s="25">
        <f t="shared" si="12"/>
        <v>2568.7497600000002</v>
      </c>
    </row>
    <row r="37" spans="1:14" x14ac:dyDescent="0.25">
      <c r="A37" s="12" t="s">
        <v>118</v>
      </c>
      <c r="B37" s="37">
        <f>SUM(C37:N37)</f>
        <v>12715.311312000003</v>
      </c>
      <c r="C37" s="25">
        <f t="shared" ref="C37:N37" si="13">IF(C16&gt;0,FijoVoz,0)*FactorCambio</f>
        <v>0</v>
      </c>
      <c r="D37" s="25">
        <f t="shared" si="13"/>
        <v>0</v>
      </c>
      <c r="E37" s="25">
        <f t="shared" si="13"/>
        <v>0</v>
      </c>
      <c r="F37" s="25">
        <f t="shared" si="13"/>
        <v>1412.8123680000001</v>
      </c>
      <c r="G37" s="25">
        <f t="shared" si="13"/>
        <v>1412.8123680000001</v>
      </c>
      <c r="H37" s="25">
        <f t="shared" si="13"/>
        <v>1412.8123680000001</v>
      </c>
      <c r="I37" s="25">
        <f t="shared" si="13"/>
        <v>1412.8123680000001</v>
      </c>
      <c r="J37" s="25">
        <f t="shared" si="13"/>
        <v>1412.8123680000001</v>
      </c>
      <c r="K37" s="25">
        <f t="shared" si="13"/>
        <v>1412.8123680000001</v>
      </c>
      <c r="L37" s="25">
        <f t="shared" si="13"/>
        <v>1412.8123680000001</v>
      </c>
      <c r="M37" s="25">
        <f t="shared" si="13"/>
        <v>1412.8123680000001</v>
      </c>
      <c r="N37" s="25">
        <f t="shared" si="13"/>
        <v>1412.8123680000001</v>
      </c>
    </row>
    <row r="38" spans="1:14" x14ac:dyDescent="0.25">
      <c r="A38" s="12" t="s">
        <v>119</v>
      </c>
      <c r="B38" s="37">
        <f>SUM(C38:N38)</f>
        <v>7706.2492799999991</v>
      </c>
      <c r="C38" s="25">
        <f t="shared" ref="C38:N38" si="14">FijoOtros*FactorCambio</f>
        <v>642.18744000000004</v>
      </c>
      <c r="D38" s="25">
        <f t="shared" si="14"/>
        <v>642.18744000000004</v>
      </c>
      <c r="E38" s="25">
        <f t="shared" si="14"/>
        <v>642.18744000000004</v>
      </c>
      <c r="F38" s="25">
        <f t="shared" si="14"/>
        <v>642.18744000000004</v>
      </c>
      <c r="G38" s="25">
        <f t="shared" si="14"/>
        <v>642.18744000000004</v>
      </c>
      <c r="H38" s="25">
        <f t="shared" si="14"/>
        <v>642.18744000000004</v>
      </c>
      <c r="I38" s="25">
        <f t="shared" si="14"/>
        <v>642.18744000000004</v>
      </c>
      <c r="J38" s="25">
        <f t="shared" si="14"/>
        <v>642.18744000000004</v>
      </c>
      <c r="K38" s="25">
        <f t="shared" si="14"/>
        <v>642.18744000000004</v>
      </c>
      <c r="L38" s="25">
        <f t="shared" si="14"/>
        <v>642.18744000000004</v>
      </c>
      <c r="M38" s="25">
        <f t="shared" si="14"/>
        <v>642.18744000000004</v>
      </c>
      <c r="N38" s="25">
        <f t="shared" si="14"/>
        <v>642.18744000000004</v>
      </c>
    </row>
    <row r="39" spans="1:14" x14ac:dyDescent="0.25">
      <c r="A39" s="12" t="s">
        <v>120</v>
      </c>
      <c r="B39" s="37">
        <f>SUM(C39:N39)</f>
        <v>0</v>
      </c>
      <c r="C39" s="25">
        <f t="shared" ref="C39:N39" si="15">CostoYouTube*FactorCambio</f>
        <v>0</v>
      </c>
      <c r="D39" s="25">
        <f t="shared" si="15"/>
        <v>0</v>
      </c>
      <c r="E39" s="25">
        <f t="shared" si="15"/>
        <v>0</v>
      </c>
      <c r="F39" s="25">
        <f t="shared" si="15"/>
        <v>0</v>
      </c>
      <c r="G39" s="25">
        <f t="shared" si="15"/>
        <v>0</v>
      </c>
      <c r="H39" s="25">
        <f t="shared" si="15"/>
        <v>0</v>
      </c>
      <c r="I39" s="25">
        <f t="shared" si="15"/>
        <v>0</v>
      </c>
      <c r="J39" s="25">
        <f t="shared" si="15"/>
        <v>0</v>
      </c>
      <c r="K39" s="25">
        <f t="shared" si="15"/>
        <v>0</v>
      </c>
      <c r="L39" s="25">
        <f t="shared" si="15"/>
        <v>0</v>
      </c>
      <c r="M39" s="25">
        <f t="shared" si="15"/>
        <v>0</v>
      </c>
      <c r="N39" s="25">
        <f t="shared" si="15"/>
        <v>0</v>
      </c>
    </row>
    <row r="40" spans="1:14" x14ac:dyDescent="0.25">
      <c r="A40" s="15" t="s">
        <v>121</v>
      </c>
      <c r="B40" s="37">
        <f>SUM(C40:N40)</f>
        <v>51246.557711999994</v>
      </c>
      <c r="C40" s="16">
        <f t="shared" ref="C40:N40" si="16">SUM(C36:C39)</f>
        <v>3210.9372000000003</v>
      </c>
      <c r="D40" s="16">
        <f t="shared" si="16"/>
        <v>3210.9372000000003</v>
      </c>
      <c r="E40" s="16">
        <f t="shared" si="16"/>
        <v>3210.9372000000003</v>
      </c>
      <c r="F40" s="16">
        <f t="shared" si="16"/>
        <v>4623.7495680000002</v>
      </c>
      <c r="G40" s="16">
        <f t="shared" si="16"/>
        <v>4623.7495680000002</v>
      </c>
      <c r="H40" s="16">
        <f t="shared" si="16"/>
        <v>4623.7495680000002</v>
      </c>
      <c r="I40" s="16">
        <f t="shared" si="16"/>
        <v>4623.7495680000002</v>
      </c>
      <c r="J40" s="16">
        <f t="shared" si="16"/>
        <v>4623.7495680000002</v>
      </c>
      <c r="K40" s="16">
        <f t="shared" si="16"/>
        <v>4623.7495680000002</v>
      </c>
      <c r="L40" s="16">
        <f t="shared" si="16"/>
        <v>4623.7495680000002</v>
      </c>
      <c r="M40" s="16">
        <f t="shared" si="16"/>
        <v>4623.7495680000002</v>
      </c>
      <c r="N40" s="16">
        <f t="shared" si="16"/>
        <v>4623.7495680000002</v>
      </c>
    </row>
    <row r="41" spans="1:1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5">
      <c r="A42" s="6" t="s">
        <v>122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x14ac:dyDescent="0.25">
      <c r="A43" s="12" t="s">
        <v>123</v>
      </c>
      <c r="B43" s="37">
        <f t="shared" ref="B43:B51" si="17">SUM(C43:N43)</f>
        <v>0</v>
      </c>
      <c r="C43" s="25">
        <f t="shared" ref="C43:N43" si="18">IF(C$5&gt;=TuSueldoDesdeMes,TuSueldo,0)*IncluirSueldo</f>
        <v>0</v>
      </c>
      <c r="D43" s="25">
        <f t="shared" si="18"/>
        <v>0</v>
      </c>
      <c r="E43" s="25">
        <f t="shared" si="18"/>
        <v>0</v>
      </c>
      <c r="F43" s="25">
        <f t="shared" si="18"/>
        <v>0</v>
      </c>
      <c r="G43" s="25">
        <f t="shared" si="18"/>
        <v>0</v>
      </c>
      <c r="H43" s="25">
        <f t="shared" si="18"/>
        <v>0</v>
      </c>
      <c r="I43" s="25">
        <f t="shared" si="18"/>
        <v>0</v>
      </c>
      <c r="J43" s="25">
        <f t="shared" si="18"/>
        <v>0</v>
      </c>
      <c r="K43" s="25">
        <f t="shared" si="18"/>
        <v>0</v>
      </c>
      <c r="L43" s="25">
        <f t="shared" si="18"/>
        <v>0</v>
      </c>
      <c r="M43" s="25">
        <f t="shared" si="18"/>
        <v>0</v>
      </c>
      <c r="N43" s="25">
        <f t="shared" si="18"/>
        <v>0</v>
      </c>
    </row>
    <row r="44" spans="1:14" x14ac:dyDescent="0.25">
      <c r="A44" s="12" t="s">
        <v>124</v>
      </c>
      <c r="B44" s="37">
        <f t="shared" si="17"/>
        <v>0</v>
      </c>
      <c r="C44" s="25">
        <f t="shared" ref="C44:N44" si="19">IF(C17&gt;=AsistenteDesdeSalones,SueldoAsistente,0)*IncluirAsistente</f>
        <v>0</v>
      </c>
      <c r="D44" s="25">
        <f t="shared" si="19"/>
        <v>0</v>
      </c>
      <c r="E44" s="25">
        <f t="shared" si="19"/>
        <v>0</v>
      </c>
      <c r="F44" s="25">
        <f t="shared" si="19"/>
        <v>0</v>
      </c>
      <c r="G44" s="25">
        <f t="shared" si="19"/>
        <v>0</v>
      </c>
      <c r="H44" s="25">
        <f t="shared" si="19"/>
        <v>0</v>
      </c>
      <c r="I44" s="25">
        <f t="shared" si="19"/>
        <v>0</v>
      </c>
      <c r="J44" s="25">
        <f t="shared" si="19"/>
        <v>0</v>
      </c>
      <c r="K44" s="25">
        <f t="shared" si="19"/>
        <v>0</v>
      </c>
      <c r="L44" s="25">
        <f t="shared" si="19"/>
        <v>0</v>
      </c>
      <c r="M44" s="25">
        <f t="shared" si="19"/>
        <v>0</v>
      </c>
      <c r="N44" s="25">
        <f t="shared" si="19"/>
        <v>0</v>
      </c>
    </row>
    <row r="45" spans="1:14" x14ac:dyDescent="0.25">
      <c r="A45" s="12" t="s">
        <v>125</v>
      </c>
      <c r="B45" s="37">
        <f t="shared" si="17"/>
        <v>0</v>
      </c>
      <c r="C45" s="25">
        <f t="shared" ref="C45:N45" si="20">(C43+C44)*CargasSociales*IncluirCargas</f>
        <v>0</v>
      </c>
      <c r="D45" s="25">
        <f t="shared" si="20"/>
        <v>0</v>
      </c>
      <c r="E45" s="25">
        <f t="shared" si="20"/>
        <v>0</v>
      </c>
      <c r="F45" s="25">
        <f t="shared" si="20"/>
        <v>0</v>
      </c>
      <c r="G45" s="25">
        <f t="shared" si="20"/>
        <v>0</v>
      </c>
      <c r="H45" s="25">
        <f t="shared" si="20"/>
        <v>0</v>
      </c>
      <c r="I45" s="25">
        <f t="shared" si="20"/>
        <v>0</v>
      </c>
      <c r="J45" s="25">
        <f t="shared" si="20"/>
        <v>0</v>
      </c>
      <c r="K45" s="25">
        <f t="shared" si="20"/>
        <v>0</v>
      </c>
      <c r="L45" s="25">
        <f t="shared" si="20"/>
        <v>0</v>
      </c>
      <c r="M45" s="25">
        <f t="shared" si="20"/>
        <v>0</v>
      </c>
      <c r="N45" s="25">
        <f t="shared" si="20"/>
        <v>0</v>
      </c>
    </row>
    <row r="46" spans="1:14" x14ac:dyDescent="0.25">
      <c r="A46" s="12" t="s">
        <v>126</v>
      </c>
      <c r="B46" s="37">
        <f t="shared" si="17"/>
        <v>36000</v>
      </c>
      <c r="C46" s="25">
        <f t="shared" ref="C46:N46" si="21">PublicidadMensual*IncluirPublicidad</f>
        <v>3000</v>
      </c>
      <c r="D46" s="25">
        <f t="shared" si="21"/>
        <v>3000</v>
      </c>
      <c r="E46" s="25">
        <f t="shared" si="21"/>
        <v>3000</v>
      </c>
      <c r="F46" s="25">
        <f t="shared" si="21"/>
        <v>3000</v>
      </c>
      <c r="G46" s="25">
        <f t="shared" si="21"/>
        <v>3000</v>
      </c>
      <c r="H46" s="25">
        <f t="shared" si="21"/>
        <v>3000</v>
      </c>
      <c r="I46" s="25">
        <f t="shared" si="21"/>
        <v>3000</v>
      </c>
      <c r="J46" s="25">
        <f t="shared" si="21"/>
        <v>3000</v>
      </c>
      <c r="K46" s="25">
        <f t="shared" si="21"/>
        <v>3000</v>
      </c>
      <c r="L46" s="25">
        <f t="shared" si="21"/>
        <v>3000</v>
      </c>
      <c r="M46" s="25">
        <f t="shared" si="21"/>
        <v>3000</v>
      </c>
      <c r="N46" s="25">
        <f t="shared" si="21"/>
        <v>3000</v>
      </c>
    </row>
    <row r="47" spans="1:14" x14ac:dyDescent="0.25">
      <c r="A47" s="12" t="s">
        <v>127</v>
      </c>
      <c r="B47" s="37">
        <f t="shared" si="17"/>
        <v>0</v>
      </c>
      <c r="C47" s="25">
        <f>(C8*Planes!$B$6+C9*Planes!$C$6+C10*Planes!$D$6)*MensualidadesComision*IncluirPublicidad</f>
        <v>0</v>
      </c>
      <c r="D47" s="25">
        <f>(D8*Planes!$B$6+D9*Planes!$C$6+D10*Planes!$D$6)*MensualidadesComision*IncluirPublicidad</f>
        <v>0</v>
      </c>
      <c r="E47" s="25">
        <f>(E8*Planes!$B$6+E9*Planes!$C$6+E10*Planes!$D$6)*MensualidadesComision*IncluirPublicidad</f>
        <v>0</v>
      </c>
      <c r="F47" s="25">
        <f>(F8*Planes!$B$6+F9*Planes!$C$6+F10*Planes!$D$6)*MensualidadesComision*IncluirPublicidad</f>
        <v>0</v>
      </c>
      <c r="G47" s="25">
        <f>(G8*Planes!$B$6+G9*Planes!$C$6+G10*Planes!$D$6)*MensualidadesComision*IncluirPublicidad</f>
        <v>0</v>
      </c>
      <c r="H47" s="25">
        <f>(H8*Planes!$B$6+H9*Planes!$C$6+H10*Planes!$D$6)*MensualidadesComision*IncluirPublicidad</f>
        <v>0</v>
      </c>
      <c r="I47" s="25">
        <f>(I8*Planes!$B$6+I9*Planes!$C$6+I10*Planes!$D$6)*MensualidadesComision*IncluirPublicidad</f>
        <v>0</v>
      </c>
      <c r="J47" s="25">
        <f>(J8*Planes!$B$6+J9*Planes!$C$6+J10*Planes!$D$6)*MensualidadesComision*IncluirPublicidad</f>
        <v>0</v>
      </c>
      <c r="K47" s="25">
        <f>(K8*Planes!$B$6+K9*Planes!$C$6+K10*Planes!$D$6)*MensualidadesComision*IncluirPublicidad</f>
        <v>0</v>
      </c>
      <c r="L47" s="25">
        <f>(L8*Planes!$B$6+L9*Planes!$C$6+L10*Planes!$D$6)*MensualidadesComision*IncluirPublicidad</f>
        <v>0</v>
      </c>
      <c r="M47" s="25">
        <f>(M8*Planes!$B$6+M9*Planes!$C$6+M10*Planes!$D$6)*MensualidadesComision*IncluirPublicidad</f>
        <v>0</v>
      </c>
      <c r="N47" s="25">
        <f>(N8*Planes!$B$6+N9*Planes!$C$6+N10*Planes!$D$6)*MensualidadesComision*IncluirPublicidad</f>
        <v>0</v>
      </c>
    </row>
    <row r="48" spans="1:14" x14ac:dyDescent="0.25">
      <c r="A48" s="12" t="s">
        <v>128</v>
      </c>
      <c r="B48" s="37">
        <f t="shared" si="17"/>
        <v>0</v>
      </c>
      <c r="C48" s="25">
        <f t="shared" ref="C48:N48" si="22">Contador*IncluirContador</f>
        <v>0</v>
      </c>
      <c r="D48" s="25">
        <f t="shared" si="22"/>
        <v>0</v>
      </c>
      <c r="E48" s="25">
        <f t="shared" si="22"/>
        <v>0</v>
      </c>
      <c r="F48" s="25">
        <f t="shared" si="22"/>
        <v>0</v>
      </c>
      <c r="G48" s="25">
        <f t="shared" si="22"/>
        <v>0</v>
      </c>
      <c r="H48" s="25">
        <f t="shared" si="22"/>
        <v>0</v>
      </c>
      <c r="I48" s="25">
        <f t="shared" si="22"/>
        <v>0</v>
      </c>
      <c r="J48" s="25">
        <f t="shared" si="22"/>
        <v>0</v>
      </c>
      <c r="K48" s="25">
        <f t="shared" si="22"/>
        <v>0</v>
      </c>
      <c r="L48" s="25">
        <f t="shared" si="22"/>
        <v>0</v>
      </c>
      <c r="M48" s="25">
        <f t="shared" si="22"/>
        <v>0</v>
      </c>
      <c r="N48" s="25">
        <f t="shared" si="22"/>
        <v>0</v>
      </c>
    </row>
    <row r="49" spans="1:14" x14ac:dyDescent="0.25">
      <c r="A49" s="12" t="s">
        <v>129</v>
      </c>
      <c r="B49" s="37">
        <f t="shared" si="17"/>
        <v>15412.498559999998</v>
      </c>
      <c r="C49" s="25">
        <f t="shared" ref="C49:N49" si="23">HerramientasUSD*FactorCambio*IncluirHerramientas</f>
        <v>1284.3748800000001</v>
      </c>
      <c r="D49" s="25">
        <f t="shared" si="23"/>
        <v>1284.3748800000001</v>
      </c>
      <c r="E49" s="25">
        <f t="shared" si="23"/>
        <v>1284.3748800000001</v>
      </c>
      <c r="F49" s="25">
        <f t="shared" si="23"/>
        <v>1284.3748800000001</v>
      </c>
      <c r="G49" s="25">
        <f t="shared" si="23"/>
        <v>1284.3748800000001</v>
      </c>
      <c r="H49" s="25">
        <f t="shared" si="23"/>
        <v>1284.3748800000001</v>
      </c>
      <c r="I49" s="25">
        <f t="shared" si="23"/>
        <v>1284.3748800000001</v>
      </c>
      <c r="J49" s="25">
        <f t="shared" si="23"/>
        <v>1284.3748800000001</v>
      </c>
      <c r="K49" s="25">
        <f t="shared" si="23"/>
        <v>1284.3748800000001</v>
      </c>
      <c r="L49" s="25">
        <f t="shared" si="23"/>
        <v>1284.3748800000001</v>
      </c>
      <c r="M49" s="25">
        <f t="shared" si="23"/>
        <v>1284.3748800000001</v>
      </c>
      <c r="N49" s="25">
        <f t="shared" si="23"/>
        <v>1284.3748800000001</v>
      </c>
    </row>
    <row r="50" spans="1:14" x14ac:dyDescent="0.25">
      <c r="A50" s="12" t="s">
        <v>130</v>
      </c>
      <c r="B50" s="37">
        <f t="shared" si="17"/>
        <v>0</v>
      </c>
      <c r="C50" s="25">
        <f t="shared" ref="C50:N50" si="24">IF(C$5=MesEquipo,CompraEquipo,0)*IncluirHerramientas</f>
        <v>0</v>
      </c>
      <c r="D50" s="25">
        <f t="shared" si="24"/>
        <v>0</v>
      </c>
      <c r="E50" s="25">
        <f t="shared" si="24"/>
        <v>0</v>
      </c>
      <c r="F50" s="25">
        <f t="shared" si="24"/>
        <v>0</v>
      </c>
      <c r="G50" s="25">
        <f t="shared" si="24"/>
        <v>0</v>
      </c>
      <c r="H50" s="25">
        <f t="shared" si="24"/>
        <v>0</v>
      </c>
      <c r="I50" s="25">
        <f t="shared" si="24"/>
        <v>0</v>
      </c>
      <c r="J50" s="25">
        <f t="shared" si="24"/>
        <v>0</v>
      </c>
      <c r="K50" s="25">
        <f t="shared" si="24"/>
        <v>0</v>
      </c>
      <c r="L50" s="25">
        <f t="shared" si="24"/>
        <v>0</v>
      </c>
      <c r="M50" s="25">
        <f t="shared" si="24"/>
        <v>0</v>
      </c>
      <c r="N50" s="25">
        <f t="shared" si="24"/>
        <v>0</v>
      </c>
    </row>
    <row r="51" spans="1:14" x14ac:dyDescent="0.25">
      <c r="A51" s="15" t="s">
        <v>131</v>
      </c>
      <c r="B51" s="37">
        <f t="shared" si="17"/>
        <v>51412.498560000015</v>
      </c>
      <c r="C51" s="16">
        <f t="shared" ref="C51:N51" si="25">SUM(C43:C50)</f>
        <v>4284.3748800000003</v>
      </c>
      <c r="D51" s="16">
        <f t="shared" si="25"/>
        <v>4284.3748800000003</v>
      </c>
      <c r="E51" s="16">
        <f t="shared" si="25"/>
        <v>4284.3748800000003</v>
      </c>
      <c r="F51" s="16">
        <f t="shared" si="25"/>
        <v>4284.3748800000003</v>
      </c>
      <c r="G51" s="16">
        <f t="shared" si="25"/>
        <v>4284.3748800000003</v>
      </c>
      <c r="H51" s="16">
        <f t="shared" si="25"/>
        <v>4284.3748800000003</v>
      </c>
      <c r="I51" s="16">
        <f t="shared" si="25"/>
        <v>4284.3748800000003</v>
      </c>
      <c r="J51" s="16">
        <f t="shared" si="25"/>
        <v>4284.3748800000003</v>
      </c>
      <c r="K51" s="16">
        <f t="shared" si="25"/>
        <v>4284.3748800000003</v>
      </c>
      <c r="L51" s="16">
        <f t="shared" si="25"/>
        <v>4284.3748800000003</v>
      </c>
      <c r="M51" s="16">
        <f t="shared" si="25"/>
        <v>4284.3748800000003</v>
      </c>
      <c r="N51" s="16">
        <f t="shared" si="25"/>
        <v>4284.3748800000003</v>
      </c>
    </row>
    <row r="52" spans="1:1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25">
      <c r="A53" s="6" t="s">
        <v>132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25">
      <c r="A54" s="15" t="s">
        <v>133</v>
      </c>
      <c r="B54" s="37">
        <f>SUM(C54:N54)</f>
        <v>150915.11638221669</v>
      </c>
      <c r="C54" s="16">
        <f t="shared" ref="C54:N54" si="26">C33+C40+C51</f>
        <v>7755.8842318420711</v>
      </c>
      <c r="D54" s="16">
        <f t="shared" si="26"/>
        <v>8016.4563836841417</v>
      </c>
      <c r="E54" s="16">
        <f t="shared" si="26"/>
        <v>8338.8592156243303</v>
      </c>
      <c r="F54" s="16">
        <f t="shared" si="26"/>
        <v>10711.252536657543</v>
      </c>
      <c r="G54" s="16">
        <f t="shared" si="26"/>
        <v>11170.566160243565</v>
      </c>
      <c r="H54" s="16">
        <f t="shared" si="26"/>
        <v>12328.88858502073</v>
      </c>
      <c r="I54" s="16">
        <f t="shared" si="26"/>
        <v>12911.86356880299</v>
      </c>
      <c r="J54" s="16">
        <f t="shared" si="26"/>
        <v>14070.185993580155</v>
      </c>
      <c r="K54" s="16">
        <f t="shared" si="26"/>
        <v>14454.419505618462</v>
      </c>
      <c r="L54" s="16">
        <f t="shared" si="26"/>
        <v>15674.572610493742</v>
      </c>
      <c r="M54" s="16">
        <f t="shared" si="26"/>
        <v>17031.63650701486</v>
      </c>
      <c r="N54" s="16">
        <f t="shared" si="26"/>
        <v>18450.531083634094</v>
      </c>
    </row>
    <row r="55" spans="1:14" x14ac:dyDescent="0.25">
      <c r="A55" s="12" t="s">
        <v>134</v>
      </c>
      <c r="B55" s="37">
        <f>SUM(C55:N55)</f>
        <v>107719.45988896977</v>
      </c>
      <c r="C55" s="25">
        <f t="shared" ref="C55:N55" si="27">C27-C54</f>
        <v>-6140.9689776047835</v>
      </c>
      <c r="D55" s="25">
        <f t="shared" si="27"/>
        <v>-4786.6258752095655</v>
      </c>
      <c r="E55" s="25">
        <f t="shared" si="27"/>
        <v>-3091.401588505686</v>
      </c>
      <c r="F55" s="25">
        <f t="shared" si="27"/>
        <v>-1013.6254180134747</v>
      </c>
      <c r="G55" s="25">
        <f t="shared" si="27"/>
        <v>1354.1796024683008</v>
      </c>
      <c r="H55" s="25">
        <f t="shared" si="27"/>
        <v>5858.2300590470695</v>
      </c>
      <c r="I55" s="25">
        <f t="shared" si="27"/>
        <v>8907.7974481461642</v>
      </c>
      <c r="J55" s="25">
        <f t="shared" si="27"/>
        <v>13411.847904724931</v>
      </c>
      <c r="K55" s="25">
        <f t="shared" si="27"/>
        <v>15447.95337573747</v>
      </c>
      <c r="L55" s="25">
        <f t="shared" si="27"/>
        <v>20292.885016624903</v>
      </c>
      <c r="M55" s="25">
        <f t="shared" si="27"/>
        <v>25810.397391290229</v>
      </c>
      <c r="N55" s="25">
        <f t="shared" si="27"/>
        <v>31668.790950264214</v>
      </c>
    </row>
    <row r="56" spans="1:14" x14ac:dyDescent="0.25">
      <c r="A56" s="12" t="s">
        <v>135</v>
      </c>
      <c r="B56" s="37">
        <f>SUM(C56:N56)</f>
        <v>33143.062072041888</v>
      </c>
      <c r="C56" s="25">
        <f t="shared" ref="C56:N56" si="28">MAX(0,C55)*TasaISR*IncluirISR</f>
        <v>0</v>
      </c>
      <c r="D56" s="25">
        <f t="shared" si="28"/>
        <v>0</v>
      </c>
      <c r="E56" s="25">
        <f t="shared" si="28"/>
        <v>0</v>
      </c>
      <c r="F56" s="25">
        <f t="shared" si="28"/>
        <v>0</v>
      </c>
      <c r="G56" s="25">
        <f t="shared" si="28"/>
        <v>365.62849266644122</v>
      </c>
      <c r="H56" s="25">
        <f t="shared" si="28"/>
        <v>1581.7221159427088</v>
      </c>
      <c r="I56" s="25">
        <f t="shared" si="28"/>
        <v>2405.1053109994646</v>
      </c>
      <c r="J56" s="25">
        <f t="shared" si="28"/>
        <v>3621.1989342757315</v>
      </c>
      <c r="K56" s="25">
        <f t="shared" si="28"/>
        <v>4170.9474114491177</v>
      </c>
      <c r="L56" s="25">
        <f t="shared" si="28"/>
        <v>5479.0789544887239</v>
      </c>
      <c r="M56" s="25">
        <f t="shared" si="28"/>
        <v>6968.807295648362</v>
      </c>
      <c r="N56" s="25">
        <f t="shared" si="28"/>
        <v>8550.5735565713385</v>
      </c>
    </row>
    <row r="57" spans="1:14" x14ac:dyDescent="0.25">
      <c r="A57" s="15" t="s">
        <v>136</v>
      </c>
      <c r="B57" s="37">
        <f>SUM(C57:N57)</f>
        <v>74576.397816927885</v>
      </c>
      <c r="C57" s="37">
        <f t="shared" ref="C57:N57" si="29">C55-C56</f>
        <v>-6140.9689776047835</v>
      </c>
      <c r="D57" s="37">
        <f t="shared" si="29"/>
        <v>-4786.6258752095655</v>
      </c>
      <c r="E57" s="37">
        <f t="shared" si="29"/>
        <v>-3091.401588505686</v>
      </c>
      <c r="F57" s="37">
        <f t="shared" si="29"/>
        <v>-1013.6254180134747</v>
      </c>
      <c r="G57" s="37">
        <f t="shared" si="29"/>
        <v>988.55110980185964</v>
      </c>
      <c r="H57" s="37">
        <f t="shared" si="29"/>
        <v>4276.5079431043605</v>
      </c>
      <c r="I57" s="37">
        <f t="shared" si="29"/>
        <v>6502.6921371466997</v>
      </c>
      <c r="J57" s="37">
        <f t="shared" si="29"/>
        <v>9790.6489704491996</v>
      </c>
      <c r="K57" s="37">
        <f t="shared" si="29"/>
        <v>11277.005964288353</v>
      </c>
      <c r="L57" s="37">
        <f t="shared" si="29"/>
        <v>14813.80606213618</v>
      </c>
      <c r="M57" s="37">
        <f t="shared" si="29"/>
        <v>18841.590095641866</v>
      </c>
      <c r="N57" s="37">
        <f t="shared" si="29"/>
        <v>23118.217393692874</v>
      </c>
    </row>
    <row r="58" spans="1:14" x14ac:dyDescent="0.25">
      <c r="A58" s="12" t="s">
        <v>137</v>
      </c>
      <c r="B58" s="38">
        <f t="shared" ref="B58:N58" si="30">IF(B27&gt;0,B57/B27,0)</f>
        <v>0.28834658881313763</v>
      </c>
      <c r="C58" s="39">
        <f t="shared" si="30"/>
        <v>-3.8026571124966648</v>
      </c>
      <c r="D58" s="39">
        <f t="shared" si="30"/>
        <v>-1.4820052825218533</v>
      </c>
      <c r="E58" s="39">
        <f t="shared" si="30"/>
        <v>-0.58912368773202672</v>
      </c>
      <c r="F58" s="39">
        <f t="shared" si="30"/>
        <v>-0.10452303492518702</v>
      </c>
      <c r="G58" s="39">
        <f t="shared" si="30"/>
        <v>7.8927838419278057E-2</v>
      </c>
      <c r="H58" s="39">
        <f t="shared" si="30"/>
        <v>0.23513938776108742</v>
      </c>
      <c r="I58" s="39">
        <f t="shared" si="30"/>
        <v>0.29801985155019206</v>
      </c>
      <c r="J58" s="39">
        <f t="shared" si="30"/>
        <v>0.3562563457522343</v>
      </c>
      <c r="K58" s="39">
        <f t="shared" si="30"/>
        <v>0.37712746105575934</v>
      </c>
      <c r="L58" s="39">
        <f t="shared" si="30"/>
        <v>0.41186692191907687</v>
      </c>
      <c r="M58" s="39">
        <f t="shared" si="30"/>
        <v>0.43979214759893259</v>
      </c>
      <c r="N58" s="39">
        <f t="shared" si="30"/>
        <v>0.4612635697277952</v>
      </c>
    </row>
    <row r="59" spans="1:14" x14ac:dyDescent="0.25">
      <c r="A59" s="15" t="s">
        <v>138</v>
      </c>
      <c r="B59" s="37">
        <f>N59</f>
        <v>74576.397816927885</v>
      </c>
      <c r="C59" s="16">
        <f>CapitalInicial+C57</f>
        <v>-6140.9689776047835</v>
      </c>
      <c r="D59" s="16">
        <f t="shared" ref="D59:N59" si="31">C59+D57</f>
        <v>-10927.594852814349</v>
      </c>
      <c r="E59" s="16">
        <f t="shared" si="31"/>
        <v>-14018.996441320036</v>
      </c>
      <c r="F59" s="16">
        <f t="shared" si="31"/>
        <v>-15032.621859333511</v>
      </c>
      <c r="G59" s="16">
        <f t="shared" si="31"/>
        <v>-14044.070749531651</v>
      </c>
      <c r="H59" s="16">
        <f t="shared" si="31"/>
        <v>-9767.5628064272896</v>
      </c>
      <c r="I59" s="16">
        <f t="shared" si="31"/>
        <v>-3264.8706692805899</v>
      </c>
      <c r="J59" s="16">
        <f t="shared" si="31"/>
        <v>6525.7783011686097</v>
      </c>
      <c r="K59" s="16">
        <f t="shared" si="31"/>
        <v>17802.784265456961</v>
      </c>
      <c r="L59" s="16">
        <f t="shared" si="31"/>
        <v>32616.590327593141</v>
      </c>
      <c r="M59" s="16">
        <f t="shared" si="31"/>
        <v>51458.180423235011</v>
      </c>
      <c r="N59" s="16">
        <f t="shared" si="31"/>
        <v>74576.397816927885</v>
      </c>
    </row>
    <row r="60" spans="1:14" x14ac:dyDescent="0.25">
      <c r="A60" s="14" t="s">
        <v>139</v>
      </c>
      <c r="B60" s="40"/>
      <c r="C60" s="41">
        <f t="shared" ref="C60:N60" si="32">IF(C57&gt;0,1,0)</f>
        <v>0</v>
      </c>
      <c r="D60" s="41">
        <f t="shared" si="32"/>
        <v>0</v>
      </c>
      <c r="E60" s="41">
        <f t="shared" si="32"/>
        <v>0</v>
      </c>
      <c r="F60" s="41">
        <f t="shared" si="32"/>
        <v>0</v>
      </c>
      <c r="G60" s="41">
        <f t="shared" si="32"/>
        <v>1</v>
      </c>
      <c r="H60" s="41">
        <f t="shared" si="32"/>
        <v>1</v>
      </c>
      <c r="I60" s="41">
        <f t="shared" si="32"/>
        <v>1</v>
      </c>
      <c r="J60" s="41">
        <f t="shared" si="32"/>
        <v>1</v>
      </c>
      <c r="K60" s="41">
        <f t="shared" si="32"/>
        <v>1</v>
      </c>
      <c r="L60" s="41">
        <f t="shared" si="32"/>
        <v>1</v>
      </c>
      <c r="M60" s="41">
        <f t="shared" si="32"/>
        <v>1</v>
      </c>
      <c r="N60" s="41">
        <f t="shared" si="32"/>
        <v>1</v>
      </c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5">
      <c r="A62" s="6" t="s">
        <v>140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4" x14ac:dyDescent="0.25">
      <c r="A63" s="12" t="s">
        <v>141</v>
      </c>
      <c r="B63" s="33">
        <f>N63</f>
        <v>19500</v>
      </c>
      <c r="C63" s="35">
        <f>(C14*Planes!$B$13+C15*Planes!$C$13+C16*Planes!$D$13)*UnidadesPorBusqueda</f>
        <v>500</v>
      </c>
      <c r="D63" s="35">
        <f>(D14*Planes!$B$13+D15*Planes!$C$13+D16*Planes!$D$13)*UnidadesPorBusqueda</f>
        <v>1000</v>
      </c>
      <c r="E63" s="35">
        <f>(E14*Planes!$B$13+E15*Planes!$C$13+E16*Planes!$D$13)*UnidadesPorBusqueda</f>
        <v>1500</v>
      </c>
      <c r="F63" s="35">
        <f>(F14*Planes!$B$13+F15*Planes!$C$13+F16*Planes!$D$13)*UnidadesPorBusqueda</f>
        <v>3500</v>
      </c>
      <c r="G63" s="35">
        <f>(G14*Planes!$B$13+G15*Planes!$C$13+G16*Planes!$D$13)*UnidadesPorBusqueda</f>
        <v>4500</v>
      </c>
      <c r="H63" s="35">
        <f>(H14*Planes!$B$13+H15*Planes!$C$13+H16*Planes!$D$13)*UnidadesPorBusqueda</f>
        <v>7000</v>
      </c>
      <c r="I63" s="35">
        <f>(I14*Planes!$B$13+I15*Planes!$C$13+I16*Planes!$D$13)*UnidadesPorBusqueda</f>
        <v>8000</v>
      </c>
      <c r="J63" s="35">
        <f>(J14*Planes!$B$13+J15*Planes!$C$13+J16*Planes!$D$13)*UnidadesPorBusqueda</f>
        <v>10500</v>
      </c>
      <c r="K63" s="35">
        <f>(K14*Planes!$B$13+K15*Planes!$C$13+K16*Planes!$D$13)*UnidadesPorBusqueda</f>
        <v>11000</v>
      </c>
      <c r="L63" s="35">
        <f>(L14*Planes!$B$13+L15*Planes!$C$13+L16*Planes!$D$13)*UnidadesPorBusqueda</f>
        <v>13500</v>
      </c>
      <c r="M63" s="35">
        <f>(M14*Planes!$B$13+M15*Planes!$C$13+M16*Planes!$D$13)*UnidadesPorBusqueda</f>
        <v>16500</v>
      </c>
      <c r="N63" s="35">
        <f>(N14*Planes!$B$13+N15*Planes!$C$13+N16*Planes!$D$13)*UnidadesPorBusqueda</f>
        <v>19500</v>
      </c>
    </row>
    <row r="64" spans="1:14" x14ac:dyDescent="0.25">
      <c r="A64" s="12" t="s">
        <v>142</v>
      </c>
      <c r="B64" s="38">
        <f>N64</f>
        <v>1.95</v>
      </c>
      <c r="C64" s="39">
        <f t="shared" ref="C64:N64" si="33">IF(CuotaYouTube&gt;0,C63/CuotaYouTube,0)</f>
        <v>0.05</v>
      </c>
      <c r="D64" s="39">
        <f t="shared" si="33"/>
        <v>0.1</v>
      </c>
      <c r="E64" s="39">
        <f t="shared" si="33"/>
        <v>0.15</v>
      </c>
      <c r="F64" s="39">
        <f t="shared" si="33"/>
        <v>0.35</v>
      </c>
      <c r="G64" s="39">
        <f t="shared" si="33"/>
        <v>0.45</v>
      </c>
      <c r="H64" s="39">
        <f t="shared" si="33"/>
        <v>0.7</v>
      </c>
      <c r="I64" s="39">
        <f t="shared" si="33"/>
        <v>0.8</v>
      </c>
      <c r="J64" s="39">
        <f t="shared" si="33"/>
        <v>1.05</v>
      </c>
      <c r="K64" s="39">
        <f t="shared" si="33"/>
        <v>1.1000000000000001</v>
      </c>
      <c r="L64" s="39">
        <f t="shared" si="33"/>
        <v>1.35</v>
      </c>
      <c r="M64" s="39">
        <f t="shared" si="33"/>
        <v>1.65</v>
      </c>
      <c r="N64" s="39">
        <f t="shared" si="33"/>
        <v>1.95</v>
      </c>
    </row>
  </sheetData>
  <conditionalFormatting sqref="B64:N64">
    <cfRule type="cellIs" dxfId="4" priority="2" operator="greaterThan">
      <formula>1</formula>
    </cfRule>
    <cfRule type="cellIs" dxfId="3" priority="3" operator="between">
      <formula>0.8</formula>
      <formula>1</formula>
    </cfRule>
  </conditionalFormatting>
  <conditionalFormatting sqref="B57:N57">
    <cfRule type="cellIs" dxfId="2" priority="4" operator="lessThan">
      <formula>0</formula>
    </cfRule>
  </conditionalFormatting>
  <conditionalFormatting sqref="B59:N59">
    <cfRule type="cellIs" dxfId="1" priority="5" operator="lessThan">
      <formula>0</formula>
    </cfRule>
  </conditionalFormatting>
  <conditionalFormatting sqref="B55:N55">
    <cfRule type="cellIs" dxfId="0" priority="6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1"/>
  <sheetViews>
    <sheetView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E32" sqref="E32"/>
    </sheetView>
  </sheetViews>
  <sheetFormatPr baseColWidth="10" defaultColWidth="8.7109375" defaultRowHeight="15" x14ac:dyDescent="0.25"/>
  <cols>
    <col min="1" max="1" width="58" customWidth="1"/>
    <col min="2" max="4" width="20" customWidth="1"/>
    <col min="5" max="5" width="70" customWidth="1"/>
  </cols>
  <sheetData>
    <row r="1" spans="1:5" ht="18" x14ac:dyDescent="0.25">
      <c r="A1" s="29" t="s">
        <v>143</v>
      </c>
      <c r="B1" s="3"/>
      <c r="C1" s="3"/>
      <c r="D1" s="3"/>
      <c r="E1" s="3"/>
    </row>
    <row r="2" spans="1:5" x14ac:dyDescent="0.25">
      <c r="A2" s="5" t="s">
        <v>144</v>
      </c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6" t="s">
        <v>89</v>
      </c>
      <c r="B4" s="6" t="s">
        <v>145</v>
      </c>
      <c r="C4" s="6" t="s">
        <v>146</v>
      </c>
      <c r="D4" s="6" t="s">
        <v>147</v>
      </c>
      <c r="E4" s="6" t="s">
        <v>148</v>
      </c>
    </row>
    <row r="5" spans="1:5" x14ac:dyDescent="0.25">
      <c r="A5" s="6" t="s">
        <v>149</v>
      </c>
      <c r="B5" s="7"/>
      <c r="C5" s="7"/>
      <c r="D5" s="7"/>
      <c r="E5" s="7"/>
    </row>
    <row r="6" spans="1:5" x14ac:dyDescent="0.25">
      <c r="A6" s="12" t="s">
        <v>150</v>
      </c>
      <c r="B6" s="42">
        <v>495</v>
      </c>
      <c r="C6" s="42">
        <v>1490</v>
      </c>
      <c r="D6" s="42">
        <v>2990</v>
      </c>
      <c r="E6" s="20" t="s">
        <v>151</v>
      </c>
    </row>
    <row r="7" spans="1:5" x14ac:dyDescent="0.25">
      <c r="A7" s="12" t="s">
        <v>152</v>
      </c>
      <c r="B7" s="34">
        <v>400</v>
      </c>
      <c r="C7" s="34">
        <v>1500</v>
      </c>
      <c r="D7" s="34">
        <v>3000</v>
      </c>
      <c r="E7" s="20" t="s">
        <v>153</v>
      </c>
    </row>
    <row r="8" spans="1:5" x14ac:dyDescent="0.25">
      <c r="A8" s="12" t="s">
        <v>154</v>
      </c>
      <c r="B8" s="43">
        <v>0.7</v>
      </c>
      <c r="C8" s="43">
        <v>0.6</v>
      </c>
      <c r="D8" s="43">
        <v>0.6</v>
      </c>
      <c r="E8" s="20" t="s">
        <v>155</v>
      </c>
    </row>
    <row r="9" spans="1:5" x14ac:dyDescent="0.25">
      <c r="A9" s="12" t="s">
        <v>156</v>
      </c>
      <c r="B9" s="34">
        <v>40</v>
      </c>
      <c r="C9" s="34">
        <v>200</v>
      </c>
      <c r="D9" s="34">
        <v>500</v>
      </c>
      <c r="E9" s="20" t="s">
        <v>157</v>
      </c>
    </row>
    <row r="10" spans="1:5" x14ac:dyDescent="0.25">
      <c r="A10" s="12" t="s">
        <v>158</v>
      </c>
      <c r="B10" s="43">
        <v>0</v>
      </c>
      <c r="C10" s="43">
        <v>0</v>
      </c>
      <c r="D10" s="43">
        <v>0.2</v>
      </c>
      <c r="E10" s="20" t="s">
        <v>159</v>
      </c>
    </row>
    <row r="11" spans="1:5" x14ac:dyDescent="0.25">
      <c r="A11" s="12" t="s">
        <v>160</v>
      </c>
      <c r="B11" s="34">
        <v>10</v>
      </c>
      <c r="C11" s="34">
        <v>20</v>
      </c>
      <c r="D11" s="34">
        <v>40</v>
      </c>
      <c r="E11" s="20" t="s">
        <v>161</v>
      </c>
    </row>
    <row r="12" spans="1:5" ht="24" x14ac:dyDescent="0.25">
      <c r="A12" s="12" t="s">
        <v>162</v>
      </c>
      <c r="B12" s="44">
        <v>0.1</v>
      </c>
      <c r="C12" s="44">
        <v>0.5</v>
      </c>
      <c r="D12" s="44">
        <v>1</v>
      </c>
      <c r="E12" s="20" t="s">
        <v>163</v>
      </c>
    </row>
    <row r="13" spans="1:5" ht="24" x14ac:dyDescent="0.25">
      <c r="A13" s="12" t="s">
        <v>164</v>
      </c>
      <c r="B13" s="34">
        <v>0</v>
      </c>
      <c r="C13" s="34">
        <v>5</v>
      </c>
      <c r="D13" s="34">
        <v>15</v>
      </c>
      <c r="E13" s="20" t="s">
        <v>165</v>
      </c>
    </row>
    <row r="14" spans="1:5" ht="24" x14ac:dyDescent="0.25">
      <c r="A14" s="12" t="s">
        <v>166</v>
      </c>
      <c r="B14" s="45">
        <v>1</v>
      </c>
      <c r="C14" s="45">
        <v>1</v>
      </c>
      <c r="D14" s="45">
        <v>1</v>
      </c>
      <c r="E14" s="20" t="s">
        <v>167</v>
      </c>
    </row>
    <row r="15" spans="1:5" x14ac:dyDescent="0.25">
      <c r="A15" s="6" t="s">
        <v>168</v>
      </c>
      <c r="B15" s="7"/>
      <c r="C15" s="7"/>
      <c r="D15" s="7"/>
      <c r="E15" s="7"/>
    </row>
    <row r="16" spans="1:5" x14ac:dyDescent="0.25">
      <c r="A16" s="12" t="s">
        <v>169</v>
      </c>
      <c r="B16" s="35">
        <f>B7*B8</f>
        <v>280</v>
      </c>
      <c r="C16" s="46">
        <f>C7*C8</f>
        <v>900</v>
      </c>
      <c r="D16" s="46">
        <f>D7*D8</f>
        <v>1800</v>
      </c>
      <c r="E16" s="20"/>
    </row>
    <row r="17" spans="1:5" x14ac:dyDescent="0.25">
      <c r="A17" s="12" t="s">
        <v>170</v>
      </c>
      <c r="B17" s="47">
        <f>B16*CostoIAPorMensaje</f>
        <v>0.91101359999999987</v>
      </c>
      <c r="C17" s="47">
        <f>C16*CostoIAPorMensaje</f>
        <v>2.9282579999999996</v>
      </c>
      <c r="D17" s="47">
        <f>D16*CostoIAPorMensaje</f>
        <v>5.8565159999999992</v>
      </c>
      <c r="E17" s="20"/>
    </row>
    <row r="18" spans="1:5" x14ac:dyDescent="0.25">
      <c r="A18" s="12" t="s">
        <v>171</v>
      </c>
      <c r="B18" s="47">
        <f>B16*CostoTranscripcionPorMensaje</f>
        <v>5.1800000000000006E-2</v>
      </c>
      <c r="C18" s="47">
        <f>C16*CostoTranscripcionPorMensaje</f>
        <v>0.16650000000000001</v>
      </c>
      <c r="D18" s="47">
        <f>D16*CostoTranscripcionPorMensaje</f>
        <v>0.33300000000000002</v>
      </c>
      <c r="E18" s="20"/>
    </row>
    <row r="19" spans="1:5" x14ac:dyDescent="0.25">
      <c r="A19" s="12" t="s">
        <v>172</v>
      </c>
      <c r="B19" s="35">
        <f>B16*RespuestasPorMensaje+B9</f>
        <v>308.8</v>
      </c>
      <c r="C19" s="35">
        <f>C16*RespuestasPorMensaje+C9</f>
        <v>1064</v>
      </c>
      <c r="D19" s="35">
        <f>D16*RespuestasPorMensaje+D9</f>
        <v>2228</v>
      </c>
      <c r="E19" s="20"/>
    </row>
    <row r="20" spans="1:5" x14ac:dyDescent="0.25">
      <c r="A20" s="12" t="s">
        <v>173</v>
      </c>
      <c r="B20" s="47">
        <f>MAX(0,B19-GratisPorNumero)*TarifaServicio*(1-B14)</f>
        <v>0</v>
      </c>
      <c r="C20" s="47">
        <f>MAX(0,C19-GratisPorNumero)*TarifaServicio*(1-C14)</f>
        <v>0</v>
      </c>
      <c r="D20" s="47">
        <f>MAX(0,D19-GratisPorNumero)*TarifaServicio*(1-D14)</f>
        <v>0</v>
      </c>
      <c r="E20" s="20" t="s">
        <v>174</v>
      </c>
    </row>
    <row r="21" spans="1:5" x14ac:dyDescent="0.25">
      <c r="A21" s="12" t="s">
        <v>175</v>
      </c>
      <c r="B21" s="47">
        <f>B11*TarifaUtilidad*(1-B14)</f>
        <v>0</v>
      </c>
      <c r="C21" s="47">
        <f>C11*TarifaUtilidad*(1-C14)</f>
        <v>0</v>
      </c>
      <c r="D21" s="47">
        <f>D11*TarifaUtilidad*(1-D14)</f>
        <v>0</v>
      </c>
      <c r="E21" s="20"/>
    </row>
    <row r="22" spans="1:5" x14ac:dyDescent="0.25">
      <c r="A22" s="12" t="s">
        <v>176</v>
      </c>
      <c r="B22" s="47">
        <f>B16*RespuestasPorMensaje*B10*CostoVozPorRespuesta</f>
        <v>0</v>
      </c>
      <c r="C22" s="47">
        <f>C16*RespuestasPorMensaje*C10*CostoVozPorRespuesta</f>
        <v>0</v>
      </c>
      <c r="D22" s="47">
        <f>D16*RespuestasPorMensaje*D10*CostoVozPorRespuesta</f>
        <v>3.7324799999999998</v>
      </c>
      <c r="E22" s="20"/>
    </row>
    <row r="23" spans="1:5" x14ac:dyDescent="0.25">
      <c r="A23" s="15" t="s">
        <v>177</v>
      </c>
      <c r="B23" s="48">
        <f>B17+B18+B20+B21+B22</f>
        <v>0.96281359999999983</v>
      </c>
      <c r="C23" s="48">
        <f>C17+C18+C20+C21+C22</f>
        <v>3.0947579999999997</v>
      </c>
      <c r="D23" s="48">
        <f>D17+D18+D20+D21+D22</f>
        <v>9.921996</v>
      </c>
      <c r="E23" s="20"/>
    </row>
    <row r="24" spans="1:5" ht="24" x14ac:dyDescent="0.25">
      <c r="A24" s="12" t="s">
        <v>178</v>
      </c>
      <c r="B24" s="47">
        <f>FijoPorSalon</f>
        <v>1.3846153846153846</v>
      </c>
      <c r="C24" s="47">
        <f>FijoPorSalon</f>
        <v>1.3846153846153846</v>
      </c>
      <c r="D24" s="47">
        <f>FijoPorSalon</f>
        <v>1.3846153846153846</v>
      </c>
      <c r="E24" s="20" t="s">
        <v>179</v>
      </c>
    </row>
    <row r="25" spans="1:5" x14ac:dyDescent="0.25">
      <c r="A25" s="15" t="s">
        <v>180</v>
      </c>
      <c r="B25" s="48">
        <f>B23+B24</f>
        <v>2.3474289846153846</v>
      </c>
      <c r="C25" s="48">
        <f>C23+C24</f>
        <v>4.4793733846153838</v>
      </c>
      <c r="D25" s="48">
        <f>D23+D24</f>
        <v>11.306611384615385</v>
      </c>
      <c r="E25" s="20"/>
    </row>
    <row r="26" spans="1:5" x14ac:dyDescent="0.25">
      <c r="A26" s="6" t="s">
        <v>181</v>
      </c>
      <c r="B26" s="7"/>
      <c r="C26" s="7"/>
      <c r="D26" s="7"/>
      <c r="E26" s="7"/>
    </row>
    <row r="27" spans="1:5" ht="24" x14ac:dyDescent="0.25">
      <c r="A27" s="12" t="s">
        <v>182</v>
      </c>
      <c r="B27" s="25">
        <f>B23*FactorCambio</f>
        <v>61.830680098118393</v>
      </c>
      <c r="C27" s="25">
        <f>C23*FactorCambio</f>
        <v>198.74147174395199</v>
      </c>
      <c r="D27" s="25">
        <f>D23*FactorCambio</f>
        <v>637.17812109302406</v>
      </c>
      <c r="E27" s="20" t="s">
        <v>183</v>
      </c>
    </row>
    <row r="28" spans="1:5" x14ac:dyDescent="0.25">
      <c r="A28" s="12" t="s">
        <v>184</v>
      </c>
      <c r="B28" s="25">
        <f>B25*FactorCambio</f>
        <v>150.74894102119532</v>
      </c>
      <c r="C28" s="25">
        <f>C25*FactorCambio</f>
        <v>287.65973266702889</v>
      </c>
      <c r="D28" s="25">
        <f>D25*FactorCambio</f>
        <v>726.09638201610096</v>
      </c>
      <c r="E28" s="20"/>
    </row>
    <row r="29" spans="1:5" x14ac:dyDescent="0.25">
      <c r="A29" s="12" t="s">
        <v>185</v>
      </c>
      <c r="B29" s="25">
        <f>B12*CostoHoraSoporte</f>
        <v>40</v>
      </c>
      <c r="C29" s="25">
        <f>C12*CostoHoraSoporte</f>
        <v>200</v>
      </c>
      <c r="D29" s="25">
        <f>D12*CostoHoraSoporte</f>
        <v>400</v>
      </c>
      <c r="E29" s="20"/>
    </row>
    <row r="30" spans="1:5" x14ac:dyDescent="0.25">
      <c r="A30" s="15" t="s">
        <v>186</v>
      </c>
      <c r="B30" s="16">
        <f>B28+B29</f>
        <v>190.74894102119532</v>
      </c>
      <c r="C30" s="16">
        <f>C28+C29</f>
        <v>487.65973266702889</v>
      </c>
      <c r="D30" s="16">
        <f>D28+D29</f>
        <v>1126.096382016101</v>
      </c>
      <c r="E30" s="20"/>
    </row>
    <row r="31" spans="1:5" x14ac:dyDescent="0.25">
      <c r="A31" s="12" t="s">
        <v>187</v>
      </c>
      <c r="B31" s="25">
        <f>B6*FactorNeto</f>
        <v>402.71186440677968</v>
      </c>
      <c r="C31" s="25">
        <f>C6*FactorNeto</f>
        <v>1212.2033898305085</v>
      </c>
      <c r="D31" s="25">
        <f>D6*FactorNeto</f>
        <v>2432.5423728813562</v>
      </c>
      <c r="E31" s="20"/>
    </row>
    <row r="32" spans="1:5" x14ac:dyDescent="0.25">
      <c r="A32" s="15" t="s">
        <v>188</v>
      </c>
      <c r="B32" s="37">
        <f>B31-B30</f>
        <v>211.96292338558436</v>
      </c>
      <c r="C32" s="37">
        <f>C31-C30</f>
        <v>724.54365716347957</v>
      </c>
      <c r="D32" s="37">
        <f>D31-D30</f>
        <v>1306.4459908652552</v>
      </c>
      <c r="E32" s="20"/>
    </row>
    <row r="33" spans="1:5" x14ac:dyDescent="0.25">
      <c r="A33" s="15" t="s">
        <v>189</v>
      </c>
      <c r="B33" s="38">
        <f>IF(B31&gt;0,B32/B31,0)</f>
        <v>0.52633890908036518</v>
      </c>
      <c r="C33" s="38">
        <f>IF(C31&gt;0,C32/C31,0)</f>
        <v>0.59770799458396662</v>
      </c>
      <c r="D33" s="38">
        <f>IF(D31&gt;0,D32/D31,0)</f>
        <v>0.53707018855246691</v>
      </c>
      <c r="E33" s="20"/>
    </row>
    <row r="34" spans="1:5" x14ac:dyDescent="0.25">
      <c r="A34" s="12" t="s">
        <v>190</v>
      </c>
      <c r="B34" s="25">
        <f>IF((1-MargenObjetivo)*FactorNeto&gt;0,B30/((1-MargenObjetivo)*FactorNeto),0)</f>
        <v>390.77040000869874</v>
      </c>
      <c r="C34" s="25">
        <f>IF((1-MargenObjetivo)*FactorNeto&gt;0,C30/((1-MargenObjetivo)*FactorNeto),0)</f>
        <v>999.02514678314947</v>
      </c>
      <c r="D34" s="25">
        <f>IF((1-MargenObjetivo)*FactorNeto&gt;0,D30/((1-MargenObjetivo)*FactorNeto),0)</f>
        <v>2306.9335603802069</v>
      </c>
      <c r="E34" s="20" t="s">
        <v>191</v>
      </c>
    </row>
    <row r="35" spans="1:5" x14ac:dyDescent="0.25">
      <c r="A35" s="12" t="s">
        <v>192</v>
      </c>
      <c r="B35" s="49">
        <f>IF(B16&gt;0,B30/B16,0)</f>
        <v>0.68124621793284046</v>
      </c>
      <c r="C35" s="49">
        <f>IF(C16&gt;0,C30/C16,0)</f>
        <v>0.54184414740780984</v>
      </c>
      <c r="D35" s="49">
        <f>IF(D16&gt;0,D30/D16,0)</f>
        <v>0.62560910112005608</v>
      </c>
      <c r="E35" s="20"/>
    </row>
    <row r="36" spans="1:5" x14ac:dyDescent="0.25">
      <c r="A36" s="12" t="s">
        <v>193</v>
      </c>
      <c r="B36" s="25">
        <f>B31-(B23*FactorCambio+B29)</f>
        <v>300.88118430866132</v>
      </c>
      <c r="C36" s="25">
        <f>C31-(C23*FactorCambio+C29)</f>
        <v>813.46191808655658</v>
      </c>
      <c r="D36" s="25">
        <f>D31-(D23*FactorCambio+D29)</f>
        <v>1395.3642517883322</v>
      </c>
      <c r="E36" s="20" t="s">
        <v>194</v>
      </c>
    </row>
    <row r="37" spans="1:5" x14ac:dyDescent="0.25">
      <c r="A37" s="12" t="s">
        <v>195</v>
      </c>
      <c r="B37" s="50">
        <f>IF(B36&gt;0,FijosTotal*FactorCambio/B36,"no cubre")</f>
        <v>15.367360304114898</v>
      </c>
      <c r="C37" s="50">
        <f>IF(C36&gt;0,FijosTotal*FactorCambio/C36,"no cubre")</f>
        <v>5.68403936950864</v>
      </c>
      <c r="D37" s="50">
        <f>IF(D36&gt;0,FijosTotal*FactorCambio/D36,"no cubre")</f>
        <v>3.3136505841210222</v>
      </c>
      <c r="E37" s="20" t="s">
        <v>196</v>
      </c>
    </row>
    <row r="38" spans="1:5" x14ac:dyDescent="0.25">
      <c r="A38" s="6" t="s">
        <v>197</v>
      </c>
      <c r="B38" s="7"/>
      <c r="C38" s="7"/>
      <c r="D38" s="7"/>
      <c r="E38" s="7"/>
    </row>
    <row r="39" spans="1:5" x14ac:dyDescent="0.25">
      <c r="A39" s="12" t="s">
        <v>198</v>
      </c>
      <c r="B39" s="34">
        <v>250</v>
      </c>
      <c r="C39" s="34">
        <v>500</v>
      </c>
      <c r="D39" s="34">
        <v>1000</v>
      </c>
      <c r="E39" s="20"/>
    </row>
    <row r="40" spans="1:5" x14ac:dyDescent="0.25">
      <c r="A40" s="12" t="s">
        <v>199</v>
      </c>
      <c r="B40" s="25">
        <f>B39*(CostoIAPorMensaje+CostoTranscripcionPorMensaje)*FactorCambio</f>
        <v>55.205964373319993</v>
      </c>
      <c r="C40" s="25">
        <f>C39*(CostoIAPorMensaje+CostoTranscripcionPorMensaje)*FactorCambio</f>
        <v>110.41192874663999</v>
      </c>
      <c r="D40" s="25">
        <f>D39*(CostoIAPorMensaje+CostoTranscripcionPorMensaje)*FactorCambio</f>
        <v>220.82385749327997</v>
      </c>
      <c r="E40" s="20"/>
    </row>
    <row r="41" spans="1:5" x14ac:dyDescent="0.25">
      <c r="A41" s="12" t="s">
        <v>200</v>
      </c>
      <c r="B41" s="25">
        <f>IF((1-MargenObjetivo)*FactorNeto&gt;0,CEILING(B40/((1-MargenObjetivo)*FactorNeto),5),0)</f>
        <v>115</v>
      </c>
      <c r="C41" s="25">
        <f>IF((1-MargenObjetivo)*FactorNeto&gt;0,CEILING(C40/((1-MargenObjetivo)*FactorNeto),5),0)</f>
        <v>230</v>
      </c>
      <c r="D41" s="25">
        <f>IF((1-MargenObjetivo)*FactorNeto&gt;0,CEILING(D40/((1-MargenObjetivo)*FactorNeto),5),0)</f>
        <v>455</v>
      </c>
      <c r="E41" s="20" t="s">
        <v>201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85"/>
  <sheetViews>
    <sheetView zoomScaleNormal="100" workbookViewId="0">
      <pane ySplit="3" topLeftCell="A61" activePane="bottomLeft" state="frozen"/>
      <selection pane="bottomLeft" activeCell="B79" sqref="B79"/>
    </sheetView>
  </sheetViews>
  <sheetFormatPr baseColWidth="10" defaultColWidth="8.7109375" defaultRowHeight="15" x14ac:dyDescent="0.25"/>
  <cols>
    <col min="1" max="1" width="52" customWidth="1"/>
    <col min="2" max="2" width="16" customWidth="1"/>
    <col min="3" max="3" width="18" customWidth="1"/>
    <col min="4" max="4" width="90" customWidth="1"/>
  </cols>
  <sheetData>
    <row r="1" spans="1:4" ht="18" x14ac:dyDescent="0.25">
      <c r="A1" s="29" t="s">
        <v>202</v>
      </c>
      <c r="B1" s="3"/>
      <c r="C1" s="3"/>
      <c r="D1" s="3"/>
    </row>
    <row r="2" spans="1:4" x14ac:dyDescent="0.25">
      <c r="A2" s="5" t="s">
        <v>203</v>
      </c>
      <c r="B2" s="3"/>
      <c r="C2" s="3"/>
      <c r="D2" s="3"/>
    </row>
    <row r="3" spans="1:4" x14ac:dyDescent="0.25">
      <c r="A3" s="3"/>
      <c r="B3" s="3"/>
      <c r="C3" s="3"/>
      <c r="D3" s="3"/>
    </row>
    <row r="4" spans="1:4" x14ac:dyDescent="0.25">
      <c r="A4" s="6" t="s">
        <v>204</v>
      </c>
      <c r="B4" s="7"/>
      <c r="C4" s="7"/>
      <c r="D4" s="7"/>
    </row>
    <row r="5" spans="1:4" x14ac:dyDescent="0.25">
      <c r="A5" s="18" t="s">
        <v>205</v>
      </c>
      <c r="B5" s="18" t="s">
        <v>206</v>
      </c>
      <c r="C5" s="18" t="s">
        <v>207</v>
      </c>
      <c r="D5" s="18" t="s">
        <v>208</v>
      </c>
    </row>
    <row r="6" spans="1:4" x14ac:dyDescent="0.25">
      <c r="A6" s="12" t="s">
        <v>209</v>
      </c>
      <c r="B6" s="51">
        <v>59.461799999999997</v>
      </c>
      <c r="C6" s="14" t="s">
        <v>210</v>
      </c>
      <c r="D6" s="20" t="s">
        <v>211</v>
      </c>
    </row>
    <row r="7" spans="1:4" ht="24" x14ac:dyDescent="0.25">
      <c r="A7" s="12" t="s">
        <v>34</v>
      </c>
      <c r="B7" s="43">
        <v>0.08</v>
      </c>
      <c r="C7" s="14" t="s">
        <v>212</v>
      </c>
      <c r="D7" s="20" t="s">
        <v>213</v>
      </c>
    </row>
    <row r="8" spans="1:4" x14ac:dyDescent="0.25">
      <c r="A8" s="12" t="s">
        <v>214</v>
      </c>
      <c r="B8" s="43">
        <v>0.18</v>
      </c>
      <c r="C8" s="14" t="s">
        <v>212</v>
      </c>
      <c r="D8" s="20" t="s">
        <v>215</v>
      </c>
    </row>
    <row r="9" spans="1:4" ht="24" x14ac:dyDescent="0.25">
      <c r="A9" s="12" t="s">
        <v>216</v>
      </c>
      <c r="B9" s="45">
        <v>1</v>
      </c>
      <c r="C9" s="14" t="s">
        <v>217</v>
      </c>
      <c r="D9" s="20" t="s">
        <v>218</v>
      </c>
    </row>
    <row r="10" spans="1:4" x14ac:dyDescent="0.25">
      <c r="A10" s="12" t="s">
        <v>219</v>
      </c>
      <c r="B10" s="43">
        <v>0.04</v>
      </c>
      <c r="C10" s="14" t="s">
        <v>220</v>
      </c>
      <c r="D10" s="20" t="s">
        <v>221</v>
      </c>
    </row>
    <row r="11" spans="1:4" x14ac:dyDescent="0.25">
      <c r="A11" s="12" t="s">
        <v>222</v>
      </c>
      <c r="B11" s="43">
        <v>0.4</v>
      </c>
      <c r="C11" s="14" t="s">
        <v>212</v>
      </c>
      <c r="D11" s="20" t="s">
        <v>223</v>
      </c>
    </row>
    <row r="12" spans="1:4" x14ac:dyDescent="0.25">
      <c r="A12" s="6" t="s">
        <v>224</v>
      </c>
      <c r="B12" s="7"/>
      <c r="C12" s="7"/>
      <c r="D12" s="7"/>
    </row>
    <row r="13" spans="1:4" x14ac:dyDescent="0.25">
      <c r="A13" s="18" t="s">
        <v>205</v>
      </c>
      <c r="B13" s="18" t="s">
        <v>206</v>
      </c>
      <c r="C13" s="18" t="s">
        <v>207</v>
      </c>
      <c r="D13" s="18" t="s">
        <v>208</v>
      </c>
    </row>
    <row r="14" spans="1:4" x14ac:dyDescent="0.25">
      <c r="A14" s="12" t="s">
        <v>225</v>
      </c>
      <c r="B14" s="52">
        <v>0.4</v>
      </c>
      <c r="C14" s="14" t="s">
        <v>226</v>
      </c>
      <c r="D14" s="20" t="s">
        <v>227</v>
      </c>
    </row>
    <row r="15" spans="1:4" x14ac:dyDescent="0.25">
      <c r="A15" s="12" t="s">
        <v>228</v>
      </c>
      <c r="B15" s="52">
        <v>1.6</v>
      </c>
      <c r="C15" s="14" t="s">
        <v>226</v>
      </c>
      <c r="D15" s="20" t="s">
        <v>229</v>
      </c>
    </row>
    <row r="16" spans="1:4" ht="24" x14ac:dyDescent="0.25">
      <c r="A16" s="12" t="s">
        <v>230</v>
      </c>
      <c r="B16" s="52">
        <v>0.1</v>
      </c>
      <c r="C16" s="14" t="s">
        <v>226</v>
      </c>
      <c r="D16" s="20" t="s">
        <v>231</v>
      </c>
    </row>
    <row r="17" spans="1:4" ht="48" x14ac:dyDescent="0.25">
      <c r="A17" s="12" t="s">
        <v>232</v>
      </c>
      <c r="B17" s="34">
        <v>6500</v>
      </c>
      <c r="C17" s="14" t="s">
        <v>233</v>
      </c>
      <c r="D17" s="20" t="s">
        <v>234</v>
      </c>
    </row>
    <row r="18" spans="1:4" x14ac:dyDescent="0.25">
      <c r="A18" s="12" t="s">
        <v>235</v>
      </c>
      <c r="B18" s="34">
        <v>250</v>
      </c>
      <c r="C18" s="14" t="s">
        <v>233</v>
      </c>
      <c r="D18" s="20" t="s">
        <v>236</v>
      </c>
    </row>
    <row r="19" spans="1:4" x14ac:dyDescent="0.25">
      <c r="A19" s="12" t="s">
        <v>237</v>
      </c>
      <c r="B19" s="44">
        <v>2</v>
      </c>
      <c r="C19" s="14" t="s">
        <v>238</v>
      </c>
      <c r="D19" s="20" t="s">
        <v>239</v>
      </c>
    </row>
    <row r="20" spans="1:4" ht="48" x14ac:dyDescent="0.25">
      <c r="A20" s="12" t="s">
        <v>240</v>
      </c>
      <c r="B20" s="43">
        <v>0.55000000000000004</v>
      </c>
      <c r="C20" s="14" t="s">
        <v>212</v>
      </c>
      <c r="D20" s="20" t="s">
        <v>241</v>
      </c>
    </row>
    <row r="21" spans="1:4" ht="36" x14ac:dyDescent="0.25">
      <c r="A21" s="12" t="s">
        <v>242</v>
      </c>
      <c r="B21" s="43">
        <v>0.2</v>
      </c>
      <c r="C21" s="14" t="s">
        <v>212</v>
      </c>
      <c r="D21" s="20" t="s">
        <v>243</v>
      </c>
    </row>
    <row r="22" spans="1:4" x14ac:dyDescent="0.25">
      <c r="A22" s="12" t="s">
        <v>244</v>
      </c>
      <c r="B22" s="43">
        <v>5.5E-2</v>
      </c>
      <c r="C22" s="14" t="s">
        <v>212</v>
      </c>
      <c r="D22" s="20" t="s">
        <v>245</v>
      </c>
    </row>
    <row r="23" spans="1:4" x14ac:dyDescent="0.25">
      <c r="A23" s="53" t="s">
        <v>246</v>
      </c>
      <c r="B23" s="54">
        <f>((TokensEntrada*(1-PorcCache)*PrecioEntrada+TokensEntrada*PorcCache*PrecioCache+TokensSalida*PrecioSalida)/1000000)*LlamadasPorMensaje*(1-PorcAgrupados)*(1+ComisionOpenRouter)</f>
        <v>3.2536199999999996E-3</v>
      </c>
      <c r="C23" s="55" t="s">
        <v>247</v>
      </c>
      <c r="D23" s="55"/>
    </row>
    <row r="24" spans="1:4" x14ac:dyDescent="0.25">
      <c r="A24" s="6" t="s">
        <v>248</v>
      </c>
      <c r="B24" s="7"/>
      <c r="C24" s="7"/>
      <c r="D24" s="7"/>
    </row>
    <row r="25" spans="1:4" x14ac:dyDescent="0.25">
      <c r="A25" s="18" t="s">
        <v>205</v>
      </c>
      <c r="B25" s="18" t="s">
        <v>206</v>
      </c>
      <c r="C25" s="18" t="s">
        <v>207</v>
      </c>
      <c r="D25" s="18" t="s">
        <v>208</v>
      </c>
    </row>
    <row r="26" spans="1:4" x14ac:dyDescent="0.25">
      <c r="A26" s="12" t="s">
        <v>249</v>
      </c>
      <c r="B26" s="52">
        <v>0.111</v>
      </c>
      <c r="C26" s="14" t="s">
        <v>250</v>
      </c>
      <c r="D26" s="20" t="s">
        <v>251</v>
      </c>
    </row>
    <row r="27" spans="1:4" x14ac:dyDescent="0.25">
      <c r="A27" s="12" t="s">
        <v>252</v>
      </c>
      <c r="B27" s="34">
        <v>20</v>
      </c>
      <c r="C27" s="14" t="s">
        <v>253</v>
      </c>
      <c r="D27" s="20" t="s">
        <v>254</v>
      </c>
    </row>
    <row r="28" spans="1:4" x14ac:dyDescent="0.25">
      <c r="A28" s="12" t="s">
        <v>255</v>
      </c>
      <c r="B28" s="34">
        <v>10</v>
      </c>
      <c r="C28" s="14" t="s">
        <v>253</v>
      </c>
      <c r="D28" s="20" t="s">
        <v>256</v>
      </c>
    </row>
    <row r="29" spans="1:4" x14ac:dyDescent="0.25">
      <c r="A29" s="12" t="s">
        <v>257</v>
      </c>
      <c r="B29" s="43">
        <v>0.3</v>
      </c>
      <c r="C29" s="14" t="s">
        <v>212</v>
      </c>
      <c r="D29" s="20" t="s">
        <v>258</v>
      </c>
    </row>
    <row r="30" spans="1:4" x14ac:dyDescent="0.25">
      <c r="A30" s="53" t="s">
        <v>259</v>
      </c>
      <c r="B30" s="54">
        <f>PorcNotasVoz*MAX(SegundosNota,MinimoSegundos)/3600*PrecioTranscripcion</f>
        <v>1.8500000000000002E-4</v>
      </c>
      <c r="C30" s="55" t="s">
        <v>247</v>
      </c>
      <c r="D30" s="55"/>
    </row>
    <row r="31" spans="1:4" x14ac:dyDescent="0.25">
      <c r="A31" s="6" t="s">
        <v>260</v>
      </c>
      <c r="B31" s="7"/>
      <c r="C31" s="7"/>
      <c r="D31" s="7"/>
    </row>
    <row r="32" spans="1:4" x14ac:dyDescent="0.25">
      <c r="A32" s="18" t="s">
        <v>205</v>
      </c>
      <c r="B32" s="18" t="s">
        <v>206</v>
      </c>
      <c r="C32" s="18" t="s">
        <v>207</v>
      </c>
      <c r="D32" s="18" t="s">
        <v>208</v>
      </c>
    </row>
    <row r="33" spans="1:4" ht="24" x14ac:dyDescent="0.25">
      <c r="A33" s="12" t="s">
        <v>261</v>
      </c>
      <c r="B33" s="56">
        <v>1.1299999999999999E-2</v>
      </c>
      <c r="C33" s="14" t="s">
        <v>262</v>
      </c>
      <c r="D33" s="20" t="s">
        <v>263</v>
      </c>
    </row>
    <row r="34" spans="1:4" x14ac:dyDescent="0.25">
      <c r="A34" s="12" t="s">
        <v>264</v>
      </c>
      <c r="B34" s="34">
        <v>1000</v>
      </c>
      <c r="C34" s="14" t="s">
        <v>265</v>
      </c>
      <c r="D34" s="20" t="s">
        <v>266</v>
      </c>
    </row>
    <row r="35" spans="1:4" ht="24" x14ac:dyDescent="0.25">
      <c r="A35" s="12" t="s">
        <v>267</v>
      </c>
      <c r="B35" s="56">
        <v>1.1299999999999999E-2</v>
      </c>
      <c r="C35" s="14" t="s">
        <v>262</v>
      </c>
      <c r="D35" s="20" t="s">
        <v>268</v>
      </c>
    </row>
    <row r="36" spans="1:4" x14ac:dyDescent="0.25">
      <c r="A36" s="12" t="s">
        <v>269</v>
      </c>
      <c r="B36" s="44">
        <v>1.2</v>
      </c>
      <c r="C36" s="14" t="s">
        <v>265</v>
      </c>
      <c r="D36" s="20" t="s">
        <v>270</v>
      </c>
    </row>
    <row r="37" spans="1:4" x14ac:dyDescent="0.25">
      <c r="A37" s="53" t="s">
        <v>271</v>
      </c>
      <c r="B37" s="57">
        <f>MensajesPorRespuesta*(1-PorcAgrupados)</f>
        <v>0.96</v>
      </c>
      <c r="C37" s="55" t="s">
        <v>265</v>
      </c>
      <c r="D37" s="55" t="s">
        <v>272</v>
      </c>
    </row>
    <row r="38" spans="1:4" x14ac:dyDescent="0.25">
      <c r="A38" s="6" t="s">
        <v>273</v>
      </c>
      <c r="B38" s="7"/>
      <c r="C38" s="7"/>
      <c r="D38" s="7"/>
    </row>
    <row r="39" spans="1:4" x14ac:dyDescent="0.25">
      <c r="A39" s="18" t="s">
        <v>205</v>
      </c>
      <c r="B39" s="18" t="s">
        <v>206</v>
      </c>
      <c r="C39" s="18" t="s">
        <v>207</v>
      </c>
      <c r="D39" s="18" t="s">
        <v>208</v>
      </c>
    </row>
    <row r="40" spans="1:4" x14ac:dyDescent="0.25">
      <c r="A40" s="12" t="s">
        <v>274</v>
      </c>
      <c r="B40" s="52">
        <v>0.06</v>
      </c>
      <c r="C40" s="14" t="s">
        <v>247</v>
      </c>
      <c r="D40" s="20" t="s">
        <v>275</v>
      </c>
    </row>
    <row r="41" spans="1:4" x14ac:dyDescent="0.25">
      <c r="A41" s="12" t="s">
        <v>276</v>
      </c>
      <c r="B41" s="34">
        <v>180</v>
      </c>
      <c r="C41" s="14" t="s">
        <v>277</v>
      </c>
      <c r="D41" s="20" t="s">
        <v>278</v>
      </c>
    </row>
    <row r="42" spans="1:4" x14ac:dyDescent="0.25">
      <c r="A42" s="53" t="s">
        <v>279</v>
      </c>
      <c r="B42" s="54">
        <f>CaracteresPorRespuesta/1000*PrecioVoz</f>
        <v>1.0799999999999999E-2</v>
      </c>
      <c r="C42" s="55" t="s">
        <v>247</v>
      </c>
      <c r="D42" s="55"/>
    </row>
    <row r="43" spans="1:4" x14ac:dyDescent="0.25">
      <c r="A43" s="6" t="s">
        <v>280</v>
      </c>
      <c r="B43" s="7"/>
      <c r="C43" s="7"/>
      <c r="D43" s="7"/>
    </row>
    <row r="44" spans="1:4" x14ac:dyDescent="0.25">
      <c r="A44" s="18" t="s">
        <v>205</v>
      </c>
      <c r="B44" s="18" t="s">
        <v>206</v>
      </c>
      <c r="C44" s="18" t="s">
        <v>207</v>
      </c>
      <c r="D44" s="18" t="s">
        <v>208</v>
      </c>
    </row>
    <row r="45" spans="1:4" x14ac:dyDescent="0.25">
      <c r="A45" s="12" t="s">
        <v>281</v>
      </c>
      <c r="B45" s="52">
        <v>25</v>
      </c>
      <c r="C45" s="14" t="s">
        <v>282</v>
      </c>
      <c r="D45" s="20" t="s">
        <v>283</v>
      </c>
    </row>
    <row r="46" spans="1:4" x14ac:dyDescent="0.25">
      <c r="A46" s="12" t="s">
        <v>284</v>
      </c>
      <c r="B46" s="52">
        <v>15</v>
      </c>
      <c r="C46" s="14" t="s">
        <v>282</v>
      </c>
      <c r="D46" s="20" t="s">
        <v>285</v>
      </c>
    </row>
    <row r="47" spans="1:4" x14ac:dyDescent="0.25">
      <c r="A47" s="12" t="s">
        <v>286</v>
      </c>
      <c r="B47" s="52">
        <v>22</v>
      </c>
      <c r="C47" s="14" t="s">
        <v>282</v>
      </c>
      <c r="D47" s="20" t="s">
        <v>287</v>
      </c>
    </row>
    <row r="48" spans="1:4" x14ac:dyDescent="0.25">
      <c r="A48" s="12" t="s">
        <v>288</v>
      </c>
      <c r="B48" s="52">
        <v>10</v>
      </c>
      <c r="C48" s="14" t="s">
        <v>282</v>
      </c>
      <c r="D48" s="20" t="s">
        <v>285</v>
      </c>
    </row>
    <row r="49" spans="1:4" x14ac:dyDescent="0.25">
      <c r="A49" s="53" t="s">
        <v>289</v>
      </c>
      <c r="B49" s="58">
        <f>'Mi empresa'!N17</f>
        <v>52</v>
      </c>
      <c r="C49" s="55" t="s">
        <v>290</v>
      </c>
      <c r="D49" s="55" t="s">
        <v>291</v>
      </c>
    </row>
    <row r="50" spans="1:4" x14ac:dyDescent="0.25">
      <c r="A50" s="12" t="s">
        <v>292</v>
      </c>
      <c r="B50" s="42">
        <v>400</v>
      </c>
      <c r="C50" s="14" t="s">
        <v>293</v>
      </c>
      <c r="D50" s="20" t="s">
        <v>254</v>
      </c>
    </row>
    <row r="51" spans="1:4" x14ac:dyDescent="0.25">
      <c r="A51" s="53" t="s">
        <v>294</v>
      </c>
      <c r="B51" s="59">
        <f>FijoServidor+FijoN8n+FijoVoz+FijoOtros</f>
        <v>72</v>
      </c>
      <c r="C51" s="55" t="s">
        <v>282</v>
      </c>
      <c r="D51" s="55"/>
    </row>
    <row r="52" spans="1:4" x14ac:dyDescent="0.25">
      <c r="A52" s="53" t="s">
        <v>295</v>
      </c>
      <c r="B52" s="59">
        <f>IF(SalonesActivos&gt;0,FijosTotal/SalonesActivos,0)</f>
        <v>1.3846153846153846</v>
      </c>
      <c r="C52" s="55" t="s">
        <v>282</v>
      </c>
      <c r="D52" s="55"/>
    </row>
    <row r="53" spans="1:4" x14ac:dyDescent="0.25">
      <c r="A53" s="53" t="s">
        <v>296</v>
      </c>
      <c r="B53" s="60">
        <f>TasaUSD*(1+Colchon)</f>
        <v>64.218744000000001</v>
      </c>
      <c r="C53" s="55" t="s">
        <v>210</v>
      </c>
      <c r="D53" s="55"/>
    </row>
    <row r="54" spans="1:4" x14ac:dyDescent="0.25">
      <c r="A54" s="53" t="s">
        <v>297</v>
      </c>
      <c r="B54" s="61">
        <f>(1-ComisionCobro)/(1+ITBIS*IncluyeITBIS)</f>
        <v>0.81355932203389836</v>
      </c>
      <c r="C54" s="55" t="s">
        <v>212</v>
      </c>
      <c r="D54" s="55"/>
    </row>
    <row r="55" spans="1:4" x14ac:dyDescent="0.25">
      <c r="A55" s="6" t="s">
        <v>298</v>
      </c>
      <c r="B55" s="7"/>
      <c r="C55" s="7"/>
      <c r="D55" s="7"/>
    </row>
    <row r="56" spans="1:4" x14ac:dyDescent="0.25">
      <c r="A56" s="18" t="s">
        <v>205</v>
      </c>
      <c r="B56" s="18" t="s">
        <v>206</v>
      </c>
      <c r="C56" s="18" t="s">
        <v>207</v>
      </c>
      <c r="D56" s="18" t="s">
        <v>208</v>
      </c>
    </row>
    <row r="57" spans="1:4" ht="24" x14ac:dyDescent="0.25">
      <c r="A57" s="12" t="s">
        <v>299</v>
      </c>
      <c r="B57" s="52">
        <v>0</v>
      </c>
      <c r="C57" s="14" t="s">
        <v>282</v>
      </c>
      <c r="D57" s="20" t="s">
        <v>300</v>
      </c>
    </row>
    <row r="58" spans="1:4" ht="24" x14ac:dyDescent="0.25">
      <c r="A58" s="12" t="s">
        <v>301</v>
      </c>
      <c r="B58" s="34">
        <v>10000</v>
      </c>
      <c r="C58" s="14" t="s">
        <v>302</v>
      </c>
      <c r="D58" s="20" t="s">
        <v>303</v>
      </c>
    </row>
    <row r="59" spans="1:4" ht="24" x14ac:dyDescent="0.25">
      <c r="A59" s="12" t="s">
        <v>304</v>
      </c>
      <c r="B59" s="34">
        <v>100</v>
      </c>
      <c r="C59" s="14" t="s">
        <v>305</v>
      </c>
      <c r="D59" s="20" t="s">
        <v>306</v>
      </c>
    </row>
    <row r="60" spans="1:4" x14ac:dyDescent="0.25">
      <c r="A60" s="6" t="s">
        <v>307</v>
      </c>
      <c r="B60" s="7"/>
      <c r="C60" s="7"/>
      <c r="D60" s="7"/>
    </row>
    <row r="61" spans="1:4" x14ac:dyDescent="0.25">
      <c r="A61" s="18" t="s">
        <v>205</v>
      </c>
      <c r="B61" s="18" t="s">
        <v>206</v>
      </c>
      <c r="C61" s="18" t="s">
        <v>207</v>
      </c>
      <c r="D61" s="18" t="s">
        <v>208</v>
      </c>
    </row>
    <row r="62" spans="1:4" x14ac:dyDescent="0.25">
      <c r="A62" s="12" t="s">
        <v>308</v>
      </c>
      <c r="B62" s="62">
        <v>46296</v>
      </c>
      <c r="C62" s="14" t="s">
        <v>309</v>
      </c>
      <c r="D62" s="20" t="s">
        <v>310</v>
      </c>
    </row>
    <row r="63" spans="1:4" x14ac:dyDescent="0.25">
      <c r="A63" s="12" t="s">
        <v>311</v>
      </c>
      <c r="B63" s="42">
        <v>0</v>
      </c>
      <c r="C63" s="14" t="s">
        <v>74</v>
      </c>
      <c r="D63" s="20" t="s">
        <v>312</v>
      </c>
    </row>
    <row r="64" spans="1:4" x14ac:dyDescent="0.25">
      <c r="A64" s="12" t="s">
        <v>313</v>
      </c>
      <c r="B64" s="42">
        <v>0</v>
      </c>
      <c r="C64" s="14" t="s">
        <v>314</v>
      </c>
      <c r="D64" s="20" t="s">
        <v>315</v>
      </c>
    </row>
    <row r="65" spans="1:4" x14ac:dyDescent="0.25">
      <c r="A65" s="6" t="s">
        <v>316</v>
      </c>
      <c r="B65" s="7"/>
      <c r="C65" s="7"/>
      <c r="D65" s="7"/>
    </row>
    <row r="66" spans="1:4" x14ac:dyDescent="0.25">
      <c r="A66" s="18" t="s">
        <v>205</v>
      </c>
      <c r="B66" s="18" t="s">
        <v>206</v>
      </c>
      <c r="C66" s="18" t="s">
        <v>207</v>
      </c>
      <c r="D66" s="18" t="s">
        <v>208</v>
      </c>
    </row>
    <row r="67" spans="1:4" x14ac:dyDescent="0.25">
      <c r="A67" s="12" t="s">
        <v>317</v>
      </c>
      <c r="B67" s="45">
        <v>0</v>
      </c>
      <c r="C67" s="14" t="s">
        <v>217</v>
      </c>
      <c r="D67" s="20" t="s">
        <v>318</v>
      </c>
    </row>
    <row r="68" spans="1:4" x14ac:dyDescent="0.25">
      <c r="A68" s="12" t="s">
        <v>123</v>
      </c>
      <c r="B68" s="42">
        <v>35000</v>
      </c>
      <c r="C68" s="14" t="s">
        <v>319</v>
      </c>
      <c r="D68" s="20" t="s">
        <v>320</v>
      </c>
    </row>
    <row r="69" spans="1:4" x14ac:dyDescent="0.25">
      <c r="A69" s="12" t="s">
        <v>321</v>
      </c>
      <c r="B69" s="45">
        <v>12</v>
      </c>
      <c r="C69" s="14" t="s">
        <v>322</v>
      </c>
      <c r="D69" s="20" t="s">
        <v>323</v>
      </c>
    </row>
    <row r="70" spans="1:4" x14ac:dyDescent="0.25">
      <c r="A70" s="12" t="s">
        <v>324</v>
      </c>
      <c r="B70" s="45">
        <v>0</v>
      </c>
      <c r="C70" s="14" t="s">
        <v>217</v>
      </c>
      <c r="D70" s="20"/>
    </row>
    <row r="71" spans="1:4" x14ac:dyDescent="0.25">
      <c r="A71" s="12" t="s">
        <v>325</v>
      </c>
      <c r="B71" s="42">
        <v>25000</v>
      </c>
      <c r="C71" s="14" t="s">
        <v>319</v>
      </c>
      <c r="D71" s="20" t="s">
        <v>326</v>
      </c>
    </row>
    <row r="72" spans="1:4" x14ac:dyDescent="0.25">
      <c r="A72" s="12" t="s">
        <v>327</v>
      </c>
      <c r="B72" s="34">
        <v>40</v>
      </c>
      <c r="C72" s="14" t="s">
        <v>290</v>
      </c>
      <c r="D72" s="20" t="s">
        <v>328</v>
      </c>
    </row>
    <row r="73" spans="1:4" x14ac:dyDescent="0.25">
      <c r="A73" s="12" t="s">
        <v>329</v>
      </c>
      <c r="B73" s="45">
        <v>0</v>
      </c>
      <c r="C73" s="14" t="s">
        <v>217</v>
      </c>
      <c r="D73" s="20"/>
    </row>
    <row r="74" spans="1:4" ht="24" x14ac:dyDescent="0.25">
      <c r="A74" s="12" t="s">
        <v>330</v>
      </c>
      <c r="B74" s="43">
        <v>0.16800000000000001</v>
      </c>
      <c r="C74" s="14" t="s">
        <v>212</v>
      </c>
      <c r="D74" s="20" t="s">
        <v>331</v>
      </c>
    </row>
    <row r="75" spans="1:4" x14ac:dyDescent="0.25">
      <c r="A75" s="12" t="s">
        <v>332</v>
      </c>
      <c r="B75" s="45">
        <v>1</v>
      </c>
      <c r="C75" s="14" t="s">
        <v>217</v>
      </c>
      <c r="D75" s="20"/>
    </row>
    <row r="76" spans="1:4" x14ac:dyDescent="0.25">
      <c r="A76" s="12" t="s">
        <v>333</v>
      </c>
      <c r="B76" s="42">
        <v>3000</v>
      </c>
      <c r="C76" s="14" t="s">
        <v>319</v>
      </c>
      <c r="D76" s="20" t="s">
        <v>334</v>
      </c>
    </row>
    <row r="77" spans="1:4" x14ac:dyDescent="0.25">
      <c r="A77" s="12" t="s">
        <v>335</v>
      </c>
      <c r="B77" s="44">
        <v>0</v>
      </c>
      <c r="C77" s="14" t="s">
        <v>336</v>
      </c>
      <c r="D77" s="20" t="s">
        <v>337</v>
      </c>
    </row>
    <row r="78" spans="1:4" x14ac:dyDescent="0.25">
      <c r="A78" s="12" t="s">
        <v>338</v>
      </c>
      <c r="B78" s="45">
        <v>0</v>
      </c>
      <c r="C78" s="14" t="s">
        <v>217</v>
      </c>
      <c r="D78" s="20"/>
    </row>
    <row r="79" spans="1:4" x14ac:dyDescent="0.25">
      <c r="A79" s="12" t="s">
        <v>128</v>
      </c>
      <c r="B79" s="42">
        <v>3000</v>
      </c>
      <c r="C79" s="14" t="s">
        <v>319</v>
      </c>
      <c r="D79" s="20" t="s">
        <v>339</v>
      </c>
    </row>
    <row r="80" spans="1:4" x14ac:dyDescent="0.25">
      <c r="A80" s="12" t="s">
        <v>340</v>
      </c>
      <c r="B80" s="45">
        <v>1</v>
      </c>
      <c r="C80" s="14" t="s">
        <v>217</v>
      </c>
      <c r="D80" s="20"/>
    </row>
    <row r="81" spans="1:4" ht="24" x14ac:dyDescent="0.25">
      <c r="A81" s="12" t="s">
        <v>341</v>
      </c>
      <c r="B81" s="43">
        <v>0.27</v>
      </c>
      <c r="C81" s="14" t="s">
        <v>212</v>
      </c>
      <c r="D81" s="20" t="s">
        <v>342</v>
      </c>
    </row>
    <row r="82" spans="1:4" x14ac:dyDescent="0.25">
      <c r="A82" s="12" t="s">
        <v>343</v>
      </c>
      <c r="B82" s="45">
        <v>1</v>
      </c>
      <c r="C82" s="14" t="s">
        <v>217</v>
      </c>
      <c r="D82" s="20"/>
    </row>
    <row r="83" spans="1:4" x14ac:dyDescent="0.25">
      <c r="A83" s="12" t="s">
        <v>344</v>
      </c>
      <c r="B83" s="52">
        <v>20</v>
      </c>
      <c r="C83" s="14" t="s">
        <v>282</v>
      </c>
      <c r="D83" s="20" t="s">
        <v>345</v>
      </c>
    </row>
    <row r="84" spans="1:4" x14ac:dyDescent="0.25">
      <c r="A84" s="12" t="s">
        <v>346</v>
      </c>
      <c r="B84" s="42">
        <v>0</v>
      </c>
      <c r="C84" s="14" t="s">
        <v>74</v>
      </c>
      <c r="D84" s="20" t="s">
        <v>347</v>
      </c>
    </row>
    <row r="85" spans="1:4" x14ac:dyDescent="0.25">
      <c r="A85" s="12" t="s">
        <v>348</v>
      </c>
      <c r="B85" s="45">
        <v>1</v>
      </c>
      <c r="C85" s="14" t="s">
        <v>322</v>
      </c>
      <c r="D85" s="20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26"/>
  <sheetViews>
    <sheetView zoomScaleNormal="100" workbookViewId="0"/>
  </sheetViews>
  <sheetFormatPr baseColWidth="10" defaultColWidth="8.7109375" defaultRowHeight="15" x14ac:dyDescent="0.25"/>
  <cols>
    <col min="1" max="1" width="52" customWidth="1"/>
    <col min="2" max="2" width="22" customWidth="1"/>
    <col min="3" max="3" width="60" customWidth="1"/>
  </cols>
  <sheetData>
    <row r="1" spans="1:3" ht="18" x14ac:dyDescent="0.25">
      <c r="A1" s="29" t="s">
        <v>349</v>
      </c>
      <c r="B1" s="3"/>
      <c r="C1" s="3"/>
    </row>
    <row r="2" spans="1:3" x14ac:dyDescent="0.25">
      <c r="A2" s="5" t="s">
        <v>350</v>
      </c>
      <c r="B2" s="3"/>
      <c r="C2" s="3"/>
    </row>
    <row r="3" spans="1:3" x14ac:dyDescent="0.25">
      <c r="A3" s="3"/>
      <c r="B3" s="3"/>
      <c r="C3" s="3"/>
    </row>
    <row r="4" spans="1:3" x14ac:dyDescent="0.25">
      <c r="A4" s="6" t="s">
        <v>149</v>
      </c>
      <c r="B4" s="7"/>
      <c r="C4" s="7"/>
    </row>
    <row r="5" spans="1:3" x14ac:dyDescent="0.25">
      <c r="A5" s="12" t="s">
        <v>351</v>
      </c>
      <c r="B5" s="45">
        <v>2</v>
      </c>
      <c r="C5" s="14"/>
    </row>
    <row r="6" spans="1:3" x14ac:dyDescent="0.25">
      <c r="A6" s="12" t="s">
        <v>352</v>
      </c>
      <c r="B6" s="63" t="str">
        <f>INDEX(Planes!$B$4:$D$4,1,B5)</f>
        <v>Salón</v>
      </c>
      <c r="C6" s="14"/>
    </row>
    <row r="7" spans="1:3" x14ac:dyDescent="0.25">
      <c r="A7" s="12" t="s">
        <v>353</v>
      </c>
      <c r="B7" s="25">
        <f>INDEX(Planes!$B$6:$D$6,1,B5)</f>
        <v>1490</v>
      </c>
      <c r="C7" s="14"/>
    </row>
    <row r="8" spans="1:3" x14ac:dyDescent="0.25">
      <c r="A8" s="12" t="s">
        <v>354</v>
      </c>
      <c r="B8" s="43">
        <v>0.1</v>
      </c>
      <c r="C8" s="14" t="s">
        <v>355</v>
      </c>
    </row>
    <row r="9" spans="1:3" x14ac:dyDescent="0.25">
      <c r="A9" s="15" t="s">
        <v>356</v>
      </c>
      <c r="B9" s="16">
        <f>B7*(1-B8)</f>
        <v>1341</v>
      </c>
      <c r="C9" s="14"/>
    </row>
    <row r="10" spans="1:3" x14ac:dyDescent="0.25">
      <c r="A10" s="12" t="s">
        <v>357</v>
      </c>
      <c r="B10" s="34">
        <f>INDEX(Planes!$B$7:$D$7,1,B5)</f>
        <v>1500</v>
      </c>
      <c r="C10" s="14" t="s">
        <v>358</v>
      </c>
    </row>
    <row r="11" spans="1:3" x14ac:dyDescent="0.25">
      <c r="A11" s="12" t="s">
        <v>359</v>
      </c>
      <c r="B11" s="43">
        <f>INDEX(Planes!$B$8:$D$8,1,B5)</f>
        <v>0.6</v>
      </c>
      <c r="C11" s="14"/>
    </row>
    <row r="12" spans="1:3" x14ac:dyDescent="0.25">
      <c r="A12" s="12" t="s">
        <v>360</v>
      </c>
      <c r="B12" s="34">
        <f>INDEX(Planes!$B$9:$D$9,1,B5)</f>
        <v>200</v>
      </c>
      <c r="C12" s="14"/>
    </row>
    <row r="13" spans="1:3" x14ac:dyDescent="0.25">
      <c r="A13" s="12" t="s">
        <v>361</v>
      </c>
      <c r="B13" s="43">
        <f>INDEX(Planes!$B$10:$D$10,1,B5)</f>
        <v>0</v>
      </c>
      <c r="C13" s="14"/>
    </row>
    <row r="14" spans="1:3" x14ac:dyDescent="0.25">
      <c r="A14" s="12" t="s">
        <v>362</v>
      </c>
      <c r="B14" s="34">
        <f>INDEX(Planes!$B$11:$D$11,1,B5)</f>
        <v>20</v>
      </c>
      <c r="C14" s="14"/>
    </row>
    <row r="15" spans="1:3" x14ac:dyDescent="0.25">
      <c r="A15" s="12" t="s">
        <v>363</v>
      </c>
      <c r="B15" s="44">
        <f>INDEX(Planes!$B$12:$D$12,1,B5)</f>
        <v>0.5</v>
      </c>
      <c r="C15" s="14"/>
    </row>
    <row r="16" spans="1:3" x14ac:dyDescent="0.25">
      <c r="A16" s="12" t="s">
        <v>364</v>
      </c>
      <c r="B16" s="45">
        <f>INDEX(Planes!$B$14:$D$14,1,B5)</f>
        <v>1</v>
      </c>
      <c r="C16" s="14"/>
    </row>
    <row r="17" spans="1:3" x14ac:dyDescent="0.25">
      <c r="A17" s="6" t="s">
        <v>132</v>
      </c>
      <c r="B17" s="7"/>
      <c r="C17" s="7"/>
    </row>
    <row r="18" spans="1:3" x14ac:dyDescent="0.25">
      <c r="A18" s="12" t="s">
        <v>365</v>
      </c>
      <c r="B18" s="35">
        <f>B10*B11</f>
        <v>900</v>
      </c>
      <c r="C18" s="14"/>
    </row>
    <row r="19" spans="1:3" x14ac:dyDescent="0.25">
      <c r="A19" s="12" t="s">
        <v>366</v>
      </c>
      <c r="B19" s="35">
        <f>B18*RespuestasPorMensaje+B12</f>
        <v>1064</v>
      </c>
      <c r="C19" s="14"/>
    </row>
    <row r="20" spans="1:3" x14ac:dyDescent="0.25">
      <c r="A20" s="12" t="s">
        <v>367</v>
      </c>
      <c r="B20" s="47">
        <f>B18*(CostoIAPorMensaje+CostoTranscripcionPorMensaje)+MAX(0,B19-GratisPorNumero)*TarifaServicio*(1-B16)+B14*TarifaUtilidad*(1-B16)+B18*RespuestasPorMensaje*B13*CostoVozPorRespuesta</f>
        <v>3.0947579999999997</v>
      </c>
      <c r="C20" s="14"/>
    </row>
    <row r="21" spans="1:3" x14ac:dyDescent="0.25">
      <c r="A21" s="15" t="s">
        <v>368</v>
      </c>
      <c r="B21" s="16">
        <f>(B20+FijoPorSalon)*FactorCambio+B15*CostoHoraSoporte</f>
        <v>487.65973266702889</v>
      </c>
      <c r="C21" s="14"/>
    </row>
    <row r="22" spans="1:3" x14ac:dyDescent="0.25">
      <c r="A22" s="12" t="s">
        <v>20</v>
      </c>
      <c r="B22" s="25">
        <f>B9*FactorNeto</f>
        <v>1090.9830508474577</v>
      </c>
      <c r="C22" s="14"/>
    </row>
    <row r="23" spans="1:3" x14ac:dyDescent="0.25">
      <c r="A23" s="15" t="s">
        <v>369</v>
      </c>
      <c r="B23" s="16">
        <f>B22-B21</f>
        <v>603.32331818042871</v>
      </c>
      <c r="C23" s="14"/>
    </row>
    <row r="24" spans="1:3" x14ac:dyDescent="0.25">
      <c r="A24" s="15" t="s">
        <v>30</v>
      </c>
      <c r="B24" s="64">
        <f>IF(B22&gt;0,B23/B22,0)</f>
        <v>0.55300888287107408</v>
      </c>
      <c r="C24" s="14"/>
    </row>
    <row r="25" spans="1:3" x14ac:dyDescent="0.25">
      <c r="A25" s="12" t="s">
        <v>370</v>
      </c>
      <c r="B25" s="25">
        <f>B23*12</f>
        <v>7239.8798181651446</v>
      </c>
      <c r="C25" s="14"/>
    </row>
    <row r="26" spans="1:3" x14ac:dyDescent="0.25">
      <c r="A26" s="15" t="s">
        <v>371</v>
      </c>
      <c r="B26" s="65" t="str">
        <f>IF(B24&gt;=MargenObjetivo,"Sí: cumple el margen objetivo",IF(B23&gt;0,"Deja ganancia, pero bajo el objetivo","No: pierdes dinero"))</f>
        <v>Sí: cumple el margen objetivo</v>
      </c>
      <c r="C26" s="14"/>
    </row>
  </sheetData>
  <dataValidations count="1">
    <dataValidation type="whole" sqref="B5" xr:uid="{00000000-0002-0000-0500-000000000000}">
      <formula1>1</formula1>
      <formula2>3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0"/>
  <sheetViews>
    <sheetView zoomScaleNormal="100" workbookViewId="0"/>
  </sheetViews>
  <sheetFormatPr baseColWidth="10" defaultColWidth="8.7109375" defaultRowHeight="15" x14ac:dyDescent="0.25"/>
  <cols>
    <col min="1" max="1" width="46" customWidth="1"/>
    <col min="2" max="6" width="16" customWidth="1"/>
  </cols>
  <sheetData>
    <row r="1" spans="1:6" ht="18" x14ac:dyDescent="0.25">
      <c r="A1" s="29" t="s">
        <v>372</v>
      </c>
      <c r="B1" s="3"/>
      <c r="C1" s="3"/>
      <c r="D1" s="3"/>
      <c r="E1" s="3"/>
      <c r="F1" s="3"/>
    </row>
    <row r="2" spans="1:6" x14ac:dyDescent="0.25">
      <c r="A2" s="5" t="s">
        <v>373</v>
      </c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6" t="s">
        <v>374</v>
      </c>
      <c r="B4" s="6" t="s">
        <v>375</v>
      </c>
      <c r="C4" s="6" t="s">
        <v>376</v>
      </c>
      <c r="D4" s="6" t="s">
        <v>145</v>
      </c>
      <c r="E4" s="6" t="s">
        <v>146</v>
      </c>
      <c r="F4" s="6" t="s">
        <v>147</v>
      </c>
    </row>
    <row r="5" spans="1:6" x14ac:dyDescent="0.25">
      <c r="A5" s="9" t="s">
        <v>377</v>
      </c>
      <c r="B5" s="66">
        <v>1</v>
      </c>
      <c r="C5" s="66">
        <v>1</v>
      </c>
      <c r="D5" s="67">
        <f>IF(Planes!B31&gt;0,(Planes!B31-((Planes!B17*$C5+(Planes!B23-Planes!B17+Planes!B24))*FactorCambio*$B5+Planes!B29))/Planes!B31,0)</f>
        <v>0.52633890908036518</v>
      </c>
      <c r="E5" s="67">
        <f>IF(Planes!C31&gt;0,(Planes!C31-((Planes!C17*$C5+(Planes!C23-Planes!C17+Planes!C24))*FactorCambio*$B5+Planes!C29))/Planes!C31,0)</f>
        <v>0.59770799458396662</v>
      </c>
      <c r="F5" s="67">
        <f>IF(Planes!D31&gt;0,(Planes!D31-((Planes!D17*$C5+(Planes!D23-Planes!D17+Planes!D24))*FactorCambio*$B5+Planes!D29))/Planes!D31,0)</f>
        <v>0.53707018855246691</v>
      </c>
    </row>
    <row r="6" spans="1:6" x14ac:dyDescent="0.25">
      <c r="A6" s="9" t="s">
        <v>378</v>
      </c>
      <c r="B6" s="66">
        <v>1.1000000000000001</v>
      </c>
      <c r="C6" s="66">
        <v>1</v>
      </c>
      <c r="D6" s="67">
        <f>IF(Planes!B31&gt;0,(Planes!B31-((Planes!B17*$C6+(Planes!B23-Planes!B17+Planes!B24))*FactorCambio*$B6+Planes!B29))/Planes!B31,0)</f>
        <v>0.4889054599210616</v>
      </c>
      <c r="E6" s="67">
        <f>IF(Planes!C31&gt;0,(Planes!C31-((Planes!C17*$C6+(Planes!C23-Planes!C17+Planes!C24))*FactorCambio*$B6+Planes!C29))/Planes!C31,0)</f>
        <v>0.57397767547413059</v>
      </c>
      <c r="F6" s="67">
        <f>IF(Planes!D31&gt;0,(Planes!D31-((Planes!D17*$C6+(Planes!D23-Planes!D17+Planes!D24))*FactorCambio*$B6+Planes!D29))/Planes!D31,0)</f>
        <v>0.50722090863402347</v>
      </c>
    </row>
    <row r="7" spans="1:6" x14ac:dyDescent="0.25">
      <c r="A7" s="9" t="s">
        <v>379</v>
      </c>
      <c r="B7" s="66">
        <v>1.2</v>
      </c>
      <c r="C7" s="66">
        <v>1</v>
      </c>
      <c r="D7" s="67">
        <f>IF(Planes!B31&gt;0,(Planes!B31-((Planes!B17*$C7+(Planes!B23-Planes!B17+Planes!B24))*FactorCambio*$B7+Planes!B29))/Planes!B31,0)</f>
        <v>0.45147201076175808</v>
      </c>
      <c r="E7" s="67">
        <f>IF(Planes!C31&gt;0,(Planes!C31-((Planes!C17*$C7+(Planes!C23-Planes!C17+Planes!C24))*FactorCambio*$B7+Planes!C29))/Planes!C31,0)</f>
        <v>0.55024735636429467</v>
      </c>
      <c r="F7" s="67">
        <f>IF(Planes!D31&gt;0,(Planes!D31-((Planes!D17*$C7+(Planes!D23-Planes!D17+Planes!D24))*FactorCambio*$B7+Planes!D29))/Planes!D31,0)</f>
        <v>0.47737162871558014</v>
      </c>
    </row>
    <row r="8" spans="1:6" x14ac:dyDescent="0.25">
      <c r="A8" s="9" t="s">
        <v>380</v>
      </c>
      <c r="B8" s="66">
        <v>1</v>
      </c>
      <c r="C8" s="66">
        <v>2</v>
      </c>
      <c r="D8" s="67">
        <f>IF(Planes!B31&gt;0,(Planes!B31-((Planes!B17*$C8+(Planes!B23-Planes!B17+Planes!B24))*FactorCambio*$B8+Planes!B29))/Planes!B31,0)</f>
        <v>0.38106345451907797</v>
      </c>
      <c r="E8" s="67">
        <f>IF(Planes!C31&gt;0,(Planes!C31-((Planes!C17*$C8+(Planes!C23-Planes!C17+Planes!C24))*FactorCambio*$B8+Planes!C29))/Planes!C31,0)</f>
        <v>0.44257804490263047</v>
      </c>
      <c r="F8" s="67">
        <f>IF(Planes!D31&gt;0,(Planes!D31-((Planes!D17*$C8+(Planes!D23-Planes!D17+Planes!D24))*FactorCambio*$B8+Planes!D29))/Planes!D31,0)</f>
        <v>0.38245906813427893</v>
      </c>
    </row>
    <row r="9" spans="1:6" x14ac:dyDescent="0.25">
      <c r="A9" s="9" t="s">
        <v>381</v>
      </c>
      <c r="B9" s="66">
        <v>1</v>
      </c>
      <c r="C9" s="66">
        <v>1.55</v>
      </c>
      <c r="D9" s="67">
        <f>IF(Planes!B31&gt;0,(Planes!B31-((Planes!B17*$C9+(Planes!B23-Planes!B17+Planes!B24))*FactorCambio*$B9+Planes!B29))/Planes!B31,0)</f>
        <v>0.44643740907165719</v>
      </c>
      <c r="E9" s="67">
        <f>IF(Planes!C31&gt;0,(Planes!C31-((Planes!C17*$C9+(Planes!C23-Planes!C17+Planes!C24))*FactorCambio*$B9+Planes!C29))/Planes!C31,0)</f>
        <v>0.51238652225923176</v>
      </c>
      <c r="F9" s="67">
        <f>IF(Planes!D31&gt;0,(Planes!D31-((Planes!D17*$C9+(Planes!D23-Planes!D17+Planes!D24))*FactorCambio*$B9+Planes!D29))/Planes!D31,0)</f>
        <v>0.45203407232246356</v>
      </c>
    </row>
    <row r="10" spans="1:6" x14ac:dyDescent="0.25">
      <c r="A10" s="9" t="s">
        <v>382</v>
      </c>
      <c r="B10" s="66">
        <v>1.2</v>
      </c>
      <c r="C10" s="66">
        <v>2</v>
      </c>
      <c r="D10" s="67">
        <f>IF(Planes!B31&gt;0,(Planes!B31-((Planes!B17*$C10+(Planes!B23-Planes!B17+Planes!B24))*FactorCambio*$B10+Planes!B29))/Planes!B31,0)</f>
        <v>0.27714146528821354</v>
      </c>
      <c r="E10" s="67">
        <f>IF(Planes!C31&gt;0,(Planes!C31-((Planes!C17*$C10+(Planes!C23-Planes!C17+Planes!C24))*FactorCambio*$B10+Planes!C29))/Planes!C31,0)</f>
        <v>0.36409141674669127</v>
      </c>
      <c r="F10" s="67">
        <f>IF(Planes!D31&gt;0,(Planes!D31-((Planes!D17*$C10+(Planes!D23-Planes!D17+Planes!D24))*FactorCambio*$B10+Planes!D29))/Planes!D31,0)</f>
        <v>0.29183828421375457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23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4" width="30" customWidth="1"/>
  </cols>
  <sheetData>
    <row r="1" spans="1:4" ht="18" x14ac:dyDescent="0.25">
      <c r="A1" s="29" t="s">
        <v>383</v>
      </c>
      <c r="B1" s="3"/>
      <c r="C1" s="3"/>
      <c r="D1" s="3"/>
    </row>
    <row r="2" spans="1:4" x14ac:dyDescent="0.25">
      <c r="A2" s="5" t="s">
        <v>384</v>
      </c>
      <c r="B2" s="3"/>
      <c r="C2" s="3"/>
      <c r="D2" s="3"/>
    </row>
    <row r="3" spans="1:4" x14ac:dyDescent="0.25">
      <c r="A3" s="3"/>
      <c r="B3" s="3"/>
      <c r="C3" s="3"/>
      <c r="D3" s="3"/>
    </row>
    <row r="4" spans="1:4" x14ac:dyDescent="0.25">
      <c r="A4" s="6" t="s">
        <v>385</v>
      </c>
      <c r="B4" s="6" t="s">
        <v>145</v>
      </c>
      <c r="C4" s="6" t="s">
        <v>146</v>
      </c>
      <c r="D4" s="6" t="s">
        <v>147</v>
      </c>
    </row>
    <row r="5" spans="1:4" x14ac:dyDescent="0.25">
      <c r="A5" s="68" t="s">
        <v>386</v>
      </c>
      <c r="B5" s="69" t="s">
        <v>387</v>
      </c>
      <c r="C5" s="69" t="s">
        <v>388</v>
      </c>
      <c r="D5" s="69" t="s">
        <v>389</v>
      </c>
    </row>
    <row r="6" spans="1:4" x14ac:dyDescent="0.25">
      <c r="A6" s="68" t="s">
        <v>390</v>
      </c>
      <c r="B6" s="70">
        <f>Planes!B6</f>
        <v>495</v>
      </c>
      <c r="C6" s="70">
        <f>Planes!C6</f>
        <v>1490</v>
      </c>
      <c r="D6" s="70">
        <f>Planes!D6</f>
        <v>2990</v>
      </c>
    </row>
    <row r="7" spans="1:4" x14ac:dyDescent="0.25">
      <c r="A7" s="68" t="s">
        <v>391</v>
      </c>
      <c r="B7" s="71">
        <f>Planes!B7</f>
        <v>400</v>
      </c>
      <c r="C7" s="71">
        <f>Planes!C7</f>
        <v>1500</v>
      </c>
      <c r="D7" s="71">
        <f>Planes!D7</f>
        <v>3000</v>
      </c>
    </row>
    <row r="8" spans="1:4" x14ac:dyDescent="0.25">
      <c r="A8" s="68" t="s">
        <v>392</v>
      </c>
      <c r="B8" s="69" t="s">
        <v>393</v>
      </c>
      <c r="C8" s="69" t="s">
        <v>393</v>
      </c>
      <c r="D8" s="69" t="s">
        <v>393</v>
      </c>
    </row>
    <row r="9" spans="1:4" x14ac:dyDescent="0.25">
      <c r="A9" s="68" t="s">
        <v>394</v>
      </c>
      <c r="B9" s="69" t="s">
        <v>393</v>
      </c>
      <c r="C9" s="69" t="s">
        <v>393</v>
      </c>
      <c r="D9" s="69" t="s">
        <v>393</v>
      </c>
    </row>
    <row r="10" spans="1:4" x14ac:dyDescent="0.25">
      <c r="A10" s="68" t="s">
        <v>395</v>
      </c>
      <c r="B10" s="69" t="s">
        <v>393</v>
      </c>
      <c r="C10" s="69" t="s">
        <v>393</v>
      </c>
      <c r="D10" s="69" t="s">
        <v>393</v>
      </c>
    </row>
    <row r="11" spans="1:4" x14ac:dyDescent="0.25">
      <c r="A11" s="68" t="s">
        <v>396</v>
      </c>
      <c r="B11" s="69" t="s">
        <v>393</v>
      </c>
      <c r="C11" s="69" t="s">
        <v>393</v>
      </c>
      <c r="D11" s="69" t="s">
        <v>393</v>
      </c>
    </row>
    <row r="12" spans="1:4" x14ac:dyDescent="0.25">
      <c r="A12" s="68" t="s">
        <v>397</v>
      </c>
      <c r="B12" s="69" t="s">
        <v>393</v>
      </c>
      <c r="C12" s="69" t="s">
        <v>393</v>
      </c>
      <c r="D12" s="69" t="s">
        <v>393</v>
      </c>
    </row>
    <row r="13" spans="1:4" x14ac:dyDescent="0.25">
      <c r="A13" s="68" t="s">
        <v>398</v>
      </c>
      <c r="B13" s="69" t="s">
        <v>393</v>
      </c>
      <c r="C13" s="69" t="s">
        <v>393</v>
      </c>
      <c r="D13" s="69" t="s">
        <v>393</v>
      </c>
    </row>
    <row r="14" spans="1:4" x14ac:dyDescent="0.25">
      <c r="A14" s="68" t="s">
        <v>399</v>
      </c>
      <c r="B14" s="69" t="s">
        <v>400</v>
      </c>
      <c r="C14" s="69" t="s">
        <v>393</v>
      </c>
      <c r="D14" s="69" t="s">
        <v>393</v>
      </c>
    </row>
    <row r="15" spans="1:4" x14ac:dyDescent="0.25">
      <c r="A15" s="68" t="s">
        <v>401</v>
      </c>
      <c r="B15" s="69" t="s">
        <v>400</v>
      </c>
      <c r="C15" s="69" t="s">
        <v>393</v>
      </c>
      <c r="D15" s="69" t="s">
        <v>393</v>
      </c>
    </row>
    <row r="16" spans="1:4" x14ac:dyDescent="0.25">
      <c r="A16" s="68" t="s">
        <v>402</v>
      </c>
      <c r="B16" s="69" t="s">
        <v>400</v>
      </c>
      <c r="C16" s="69" t="s">
        <v>393</v>
      </c>
      <c r="D16" s="69" t="s">
        <v>393</v>
      </c>
    </row>
    <row r="17" spans="1:4" x14ac:dyDescent="0.25">
      <c r="A17" s="68" t="s">
        <v>403</v>
      </c>
      <c r="B17" s="69" t="s">
        <v>404</v>
      </c>
      <c r="C17" s="69" t="s">
        <v>404</v>
      </c>
      <c r="D17" s="69" t="s">
        <v>404</v>
      </c>
    </row>
    <row r="18" spans="1:4" x14ac:dyDescent="0.25">
      <c r="A18" s="68" t="s">
        <v>405</v>
      </c>
      <c r="B18" s="69" t="s">
        <v>400</v>
      </c>
      <c r="C18" s="69" t="s">
        <v>393</v>
      </c>
      <c r="D18" s="69" t="s">
        <v>393</v>
      </c>
    </row>
    <row r="19" spans="1:4" x14ac:dyDescent="0.25">
      <c r="A19" s="68" t="s">
        <v>361</v>
      </c>
      <c r="B19" s="69" t="s">
        <v>400</v>
      </c>
      <c r="C19" s="69" t="s">
        <v>400</v>
      </c>
      <c r="D19" s="69" t="s">
        <v>393</v>
      </c>
    </row>
    <row r="20" spans="1:4" x14ac:dyDescent="0.25">
      <c r="A20" s="68" t="s">
        <v>406</v>
      </c>
      <c r="B20" s="69" t="s">
        <v>400</v>
      </c>
      <c r="C20" s="69" t="s">
        <v>400</v>
      </c>
      <c r="D20" s="69" t="s">
        <v>393</v>
      </c>
    </row>
    <row r="21" spans="1:4" x14ac:dyDescent="0.25">
      <c r="A21" s="68" t="s">
        <v>407</v>
      </c>
      <c r="B21" s="69" t="s">
        <v>408</v>
      </c>
      <c r="C21" s="69" t="s">
        <v>409</v>
      </c>
      <c r="D21" s="69" t="s">
        <v>410</v>
      </c>
    </row>
    <row r="22" spans="1:4" x14ac:dyDescent="0.25">
      <c r="A22" s="68" t="s">
        <v>411</v>
      </c>
      <c r="B22" s="69" t="s">
        <v>412</v>
      </c>
      <c r="C22" s="69" t="s">
        <v>412</v>
      </c>
      <c r="D22" s="69" t="s">
        <v>413</v>
      </c>
    </row>
    <row r="23" spans="1:4" x14ac:dyDescent="0.25">
      <c r="A23" s="68" t="s">
        <v>185</v>
      </c>
      <c r="B23" s="69" t="s">
        <v>414</v>
      </c>
      <c r="C23" s="69" t="s">
        <v>414</v>
      </c>
      <c r="D23" s="69" t="s">
        <v>415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15"/>
  <sheetViews>
    <sheetView zoomScaleNormal="100" workbookViewId="0"/>
  </sheetViews>
  <sheetFormatPr baseColWidth="10" defaultColWidth="8.7109375" defaultRowHeight="15" x14ac:dyDescent="0.25"/>
  <cols>
    <col min="1" max="1" width="40" customWidth="1"/>
    <col min="2" max="2" width="110" customWidth="1"/>
  </cols>
  <sheetData>
    <row r="1" spans="1:2" ht="18" x14ac:dyDescent="0.25">
      <c r="A1" s="29" t="s">
        <v>416</v>
      </c>
      <c r="B1" s="3"/>
    </row>
    <row r="2" spans="1:2" x14ac:dyDescent="0.25">
      <c r="A2" s="3"/>
      <c r="B2" s="3"/>
    </row>
    <row r="3" spans="1:2" x14ac:dyDescent="0.25">
      <c r="A3" s="9" t="s">
        <v>417</v>
      </c>
      <c r="B3" s="72" t="s">
        <v>418</v>
      </c>
    </row>
    <row r="4" spans="1:2" x14ac:dyDescent="0.25">
      <c r="A4" s="9" t="s">
        <v>419</v>
      </c>
      <c r="B4" s="72" t="s">
        <v>420</v>
      </c>
    </row>
    <row r="5" spans="1:2" x14ac:dyDescent="0.25">
      <c r="A5" s="9" t="s">
        <v>421</v>
      </c>
      <c r="B5" s="72" t="s">
        <v>422</v>
      </c>
    </row>
    <row r="6" spans="1:2" x14ac:dyDescent="0.25">
      <c r="A6" s="9" t="s">
        <v>423</v>
      </c>
      <c r="B6" s="72" t="s">
        <v>424</v>
      </c>
    </row>
    <row r="7" spans="1:2" x14ac:dyDescent="0.25">
      <c r="A7" s="9" t="s">
        <v>425</v>
      </c>
      <c r="B7" s="72" t="s">
        <v>426</v>
      </c>
    </row>
    <row r="8" spans="1:2" x14ac:dyDescent="0.25">
      <c r="A8" s="9" t="s">
        <v>427</v>
      </c>
      <c r="B8" s="72" t="s">
        <v>428</v>
      </c>
    </row>
    <row r="9" spans="1:2" x14ac:dyDescent="0.25">
      <c r="A9" s="9" t="s">
        <v>429</v>
      </c>
      <c r="B9" s="72" t="s">
        <v>430</v>
      </c>
    </row>
    <row r="10" spans="1:2" x14ac:dyDescent="0.25">
      <c r="A10" s="9" t="s">
        <v>431</v>
      </c>
      <c r="B10" s="72" t="s">
        <v>432</v>
      </c>
    </row>
    <row r="11" spans="1:2" x14ac:dyDescent="0.25">
      <c r="A11" s="9" t="s">
        <v>433</v>
      </c>
      <c r="B11" s="72" t="s">
        <v>434</v>
      </c>
    </row>
    <row r="12" spans="1:2" x14ac:dyDescent="0.25">
      <c r="A12" s="9" t="s">
        <v>435</v>
      </c>
      <c r="B12" s="72" t="s">
        <v>436</v>
      </c>
    </row>
    <row r="13" spans="1:2" x14ac:dyDescent="0.25">
      <c r="A13" s="3"/>
      <c r="B13" s="3"/>
    </row>
    <row r="14" spans="1:2" x14ac:dyDescent="0.25">
      <c r="A14" s="18" t="s">
        <v>437</v>
      </c>
      <c r="B14" s="3"/>
    </row>
    <row r="15" spans="1:2" x14ac:dyDescent="0.25">
      <c r="A15" s="5" t="s">
        <v>438</v>
      </c>
      <c r="B15" s="3"/>
    </row>
  </sheetData>
  <hyperlinks>
    <hyperlink ref="B3" r:id="rId1" xr:uid="{00000000-0004-0000-0800-000000000000}"/>
    <hyperlink ref="B4" r:id="rId2" xr:uid="{00000000-0004-0000-0800-000001000000}"/>
    <hyperlink ref="B5" r:id="rId3" xr:uid="{00000000-0004-0000-0800-000002000000}"/>
    <hyperlink ref="B6" r:id="rId4" xr:uid="{00000000-0004-0000-0800-000003000000}"/>
    <hyperlink ref="B7" r:id="rId5" xr:uid="{00000000-0004-0000-0800-000004000000}"/>
    <hyperlink ref="B8" r:id="rId6" xr:uid="{00000000-0004-0000-0800-000005000000}"/>
    <hyperlink ref="B9" r:id="rId7" xr:uid="{00000000-0004-0000-0800-000006000000}"/>
    <hyperlink ref="B10" r:id="rId8" xr:uid="{00000000-0004-0000-0800-000007000000}"/>
    <hyperlink ref="B11" r:id="rId9" xr:uid="{00000000-0004-0000-0800-000008000000}"/>
    <hyperlink ref="B12" r:id="rId10" xr:uid="{00000000-0004-0000-0800-000009000000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64</vt:i4>
      </vt:variant>
    </vt:vector>
  </HeadingPairs>
  <TitlesOfParts>
    <vt:vector size="73" baseType="lpstr">
      <vt:lpstr>Empieza aquí</vt:lpstr>
      <vt:lpstr>Resumen</vt:lpstr>
      <vt:lpstr>Mi empresa</vt:lpstr>
      <vt:lpstr>Planes</vt:lpstr>
      <vt:lpstr>Supuestos</vt:lpstr>
      <vt:lpstr>Negociación</vt:lpstr>
      <vt:lpstr>Sensibilidad</vt:lpstr>
      <vt:lpstr>Qué incluye</vt:lpstr>
      <vt:lpstr>Fuentes</vt:lpstr>
      <vt:lpstr>AsistenteDesdeSalones</vt:lpstr>
      <vt:lpstr>CapitalInicial</vt:lpstr>
      <vt:lpstr>CaracteresPorRespuesta</vt:lpstr>
      <vt:lpstr>CargasSociales</vt:lpstr>
      <vt:lpstr>CobroInstalacion</vt:lpstr>
      <vt:lpstr>Colchon</vt:lpstr>
      <vt:lpstr>ComisionCobro</vt:lpstr>
      <vt:lpstr>ComisionOpenRouter</vt:lpstr>
      <vt:lpstr>CompraEquipo</vt:lpstr>
      <vt:lpstr>Contador</vt:lpstr>
      <vt:lpstr>CostoHoraSoporte</vt:lpstr>
      <vt:lpstr>CostoIAPorMensaje</vt:lpstr>
      <vt:lpstr>CostoTranscripcionPorMensaje</vt:lpstr>
      <vt:lpstr>CostoVozPorRespuesta</vt:lpstr>
      <vt:lpstr>CostoYouTube</vt:lpstr>
      <vt:lpstr>CuotaYouTube</vt:lpstr>
      <vt:lpstr>FactorCambio</vt:lpstr>
      <vt:lpstr>FactorNeto</vt:lpstr>
      <vt:lpstr>FijoN8n</vt:lpstr>
      <vt:lpstr>FijoOtros</vt:lpstr>
      <vt:lpstr>FijoPorSalon</vt:lpstr>
      <vt:lpstr>FijoServidor</vt:lpstr>
      <vt:lpstr>FijosTotal</vt:lpstr>
      <vt:lpstr>FijoVoz</vt:lpstr>
      <vt:lpstr>GratisPorNumero</vt:lpstr>
      <vt:lpstr>HerramientasUSD</vt:lpstr>
      <vt:lpstr>IncluirAsistente</vt:lpstr>
      <vt:lpstr>IncluirCargas</vt:lpstr>
      <vt:lpstr>IncluirContador</vt:lpstr>
      <vt:lpstr>IncluirHerramientas</vt:lpstr>
      <vt:lpstr>IncluirISR</vt:lpstr>
      <vt:lpstr>IncluirPublicidad</vt:lpstr>
      <vt:lpstr>IncluirSueldo</vt:lpstr>
      <vt:lpstr>IncluyeITBIS</vt:lpstr>
      <vt:lpstr>ITBIS</vt:lpstr>
      <vt:lpstr>LlamadasPorMensaje</vt:lpstr>
      <vt:lpstr>MargenObjetivo</vt:lpstr>
      <vt:lpstr>MensajesPorRespuesta</vt:lpstr>
      <vt:lpstr>MensualidadesComision</vt:lpstr>
      <vt:lpstr>MesEquipo</vt:lpstr>
      <vt:lpstr>MinimoSegundos</vt:lpstr>
      <vt:lpstr>PorcAgrupados</vt:lpstr>
      <vt:lpstr>PorcCache</vt:lpstr>
      <vt:lpstr>PorcNotasVoz</vt:lpstr>
      <vt:lpstr>PrecioCache</vt:lpstr>
      <vt:lpstr>PrecioEntrada</vt:lpstr>
      <vt:lpstr>PrecioSalida</vt:lpstr>
      <vt:lpstr>PrecioTranscripcion</vt:lpstr>
      <vt:lpstr>PrecioVoz</vt:lpstr>
      <vt:lpstr>PrimerMes</vt:lpstr>
      <vt:lpstr>PublicidadMensual</vt:lpstr>
      <vt:lpstr>RespuestasPorMensaje</vt:lpstr>
      <vt:lpstr>SalonesActivos</vt:lpstr>
      <vt:lpstr>SegundosNota</vt:lpstr>
      <vt:lpstr>SueldoAsistente</vt:lpstr>
      <vt:lpstr>TarifaServicio</vt:lpstr>
      <vt:lpstr>TarifaUtilidad</vt:lpstr>
      <vt:lpstr>TasaISR</vt:lpstr>
      <vt:lpstr>TasaUSD</vt:lpstr>
      <vt:lpstr>TokensEntrada</vt:lpstr>
      <vt:lpstr>TokensSalida</vt:lpstr>
      <vt:lpstr>TuSueldo</vt:lpstr>
      <vt:lpstr>TuSueldoDesdeMes</vt:lpstr>
      <vt:lpstr>UnidadesPorBusqueda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Fernando Gómez Mateo</cp:lastModifiedBy>
  <cp:revision>1</cp:revision>
  <dcterms:created xsi:type="dcterms:W3CDTF">2026-09-26T18:47:30Z</dcterms:created>
  <dcterms:modified xsi:type="dcterms:W3CDTF">2026-09-27T03:17:52Z</dcterms:modified>
  <dc:language>en-US</dc:language>
</cp:coreProperties>
</file>
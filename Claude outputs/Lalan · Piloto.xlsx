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onnections.xml" ContentType="application/vnd.openxmlformats-officedocument.spreadsheetml.connections+xml"/>
  <Override PartName="/customXml/itemProps1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exión" sheetId="2" state="visible" r:id="rId2"/>
    <sheet xmlns:r="http://schemas.openxmlformats.org/officeDocument/2006/relationships" name="Perfil" sheetId="3" state="visible" r:id="rId3"/>
    <sheet xmlns:r="http://schemas.openxmlformats.org/officeDocument/2006/relationships" name="Línea base" sheetId="4" state="visible" r:id="rId4"/>
    <sheet xmlns:r="http://schemas.openxmlformats.org/officeDocument/2006/relationships" name="Revisión semanal" sheetId="5" state="visible" r:id="rId5"/>
    <sheet xmlns:r="http://schemas.openxmlformats.org/officeDocument/2006/relationships" name="Clientas" sheetId="6" state="visible" r:id="rId6"/>
    <sheet xmlns:r="http://schemas.openxmlformats.org/officeDocument/2006/relationships" name="Equipo" sheetId="7" state="visible" r:id="rId7"/>
    <sheet xmlns:r="http://schemas.openxmlformats.org/officeDocument/2006/relationships" name="Cierre" sheetId="8" state="visible" r:id="rId8"/>
    <sheet xmlns:r="http://schemas.openxmlformats.org/officeDocument/2006/relationships" name="Análisis" sheetId="9" state="visible" r:id="rId9"/>
    <sheet xmlns:r="http://schemas.openxmlformats.org/officeDocument/2006/relationships" name="Formularios" sheetId="10" state="visible" r:id="rId10"/>
    <sheet xmlns:r="http://schemas.openxmlformats.org/officeDocument/2006/relationships" name="Datos salones" sheetId="11" state="visible" r:id="rId11"/>
    <sheet xmlns:r="http://schemas.openxmlformats.org/officeDocument/2006/relationships" name="Datos diario" sheetId="12" state="visible" r:id="rId12"/>
    <sheet xmlns:r="http://schemas.openxmlformats.org/officeDocument/2006/relationships" name="Datos pantallas" sheetId="13" state="visible" r:id="rId13"/>
  </sheets>
  <definedNames>
    <definedName name="URL_BASE">'Conexión'!$C$5</definedName>
    <definedName name="CLAVE_REPORTES">'Conexión'!$C$6</definedName>
    <definedName name="DESDE">'Conexión'!$C$7</definedName>
    <definedName name="ExternalData_1" localSheetId="10" hidden="1">'Datos salones'!$A$1:$L$2</definedName>
    <definedName name="ExternalData_2" localSheetId="11" hidden="1">'Datos diario'!$A$1:$AC$2</definedName>
    <definedName name="ExternalData_3" localSheetId="12" hidden="1">'Datos pantallas'!$A$1:$G$2</definedName>
  </definedNames>
  <calcPr calcId="124519" fullCalcOnLoad="1"/>
</workbook>
</file>

<file path=xl/connections.xml><?xml version="1.0" encoding="utf-8"?>
<connections xmlns="http://schemas.openxmlformats.org/spreadsheetml/2006/main">
  <connection id="1" keepAlive="1" name="Consulta - Salones" description="Conexión a la consulta 'Salones' del libro." type="5" refreshedVersion="7" background="1" saveData="1">
    <dbPr connection="Provider=Microsoft.Mashup.OleDb.1;Data Source=$Workbook$;Location=Salones;Extended Properties=&quot;&quot;" command="SELECT * FROM [Salones]"/>
  </connection>
  <connection id="2" keepAlive="1" name="Consulta - Diario" description="Conexión a la consulta 'Diario' del libro." type="5" refreshedVersion="7" background="1" saveData="1">
    <dbPr connection="Provider=Microsoft.Mashup.OleDb.1;Data Source=$Workbook$;Location=Diario;Extended Properties=&quot;&quot;" command="SELECT * FROM [Diario]"/>
  </connection>
  <connection id="3" keepAlive="1" name="Consulta - Pantallas" description="Conexión a la consulta 'Pantallas' del libro." type="5" refreshedVersion="7" background="1" saveData="1">
    <dbPr connection="Provider=Microsoft.Mashup.OleDb.1;Data Source=$Workbook$;Location=Pantallas;Extended Properties=&quot;&quot;" command="SELECT * FROM [Pantallas]"/>
  </connection>
</connections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5B2A3A"/>
      <sz val="18"/>
    </font>
    <font>
      <name val="Arial"/>
      <color rgb="007A6E72"/>
      <sz val="10"/>
    </font>
    <font>
      <name val="Arial"/>
      <b val="1"/>
      <color rgb="005B2A3A"/>
      <sz val="12"/>
    </font>
    <font>
      <name val="Arial"/>
      <b val="1"/>
      <color rgb="002B2326"/>
      <sz val="10"/>
    </font>
    <font>
      <name val="Arial"/>
      <color rgb="002B2326"/>
      <sz val="10"/>
    </font>
    <font>
      <name val="Arial"/>
      <color rgb="000000FF"/>
      <sz val="10"/>
    </font>
    <font>
      <name val="Arial"/>
      <b val="1"/>
      <color rgb="005B2A3A"/>
      <sz val="10"/>
    </font>
    <font>
      <name val="Arial"/>
      <i val="1"/>
      <color rgb="009A8F93"/>
      <sz val="10"/>
    </font>
    <font>
      <name val="Arial"/>
      <b val="1"/>
      <color rgb="00FFFFFF"/>
      <sz val="10"/>
    </font>
    <font>
      <name val="Arial"/>
      <b val="1"/>
      <color rgb="005B2A3A"/>
      <sz val="16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FE7EA"/>
      </patternFill>
    </fill>
    <fill>
      <patternFill patternType="solid">
        <fgColor rgb="00C46B7C"/>
      </patternFill>
    </fill>
  </fills>
  <borders count="2">
    <border>
      <left/>
      <right/>
      <top/>
      <bottom/>
      <diagonal/>
    </border>
    <border>
      <bottom style="thin">
        <color rgb="00E3D7D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5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164" fontId="6" fillId="2" borderId="1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  <xf numFmtId="0" fontId="6" fillId="2" borderId="0" applyAlignment="1" pivotButton="0" quotePrefix="0" xfId="0">
      <alignment horizontal="center"/>
    </xf>
    <xf numFmtId="0" fontId="9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0" borderId="1" pivotButton="0" quotePrefix="0" xfId="0"/>
    <xf numFmtId="1" fontId="8" fillId="0" borderId="1" pivotButton="0" quotePrefix="0" xfId="0"/>
    <xf numFmtId="0" fontId="6" fillId="2" borderId="1" pivotButton="0" quotePrefix="0" xfId="0"/>
    <xf numFmtId="0" fontId="5" fillId="0" borderId="1" pivotButton="0" quotePrefix="0" xfId="0"/>
    <xf numFmtId="1" fontId="4" fillId="0" borderId="1" pivotButton="0" quotePrefix="0" xfId="0"/>
    <xf numFmtId="164" fontId="8" fillId="0" borderId="1" pivotButton="0" quotePrefix="0" xfId="0"/>
    <xf numFmtId="164" fontId="6" fillId="2" borderId="1" pivotButton="0" quotePrefix="0" xfId="0"/>
    <xf numFmtId="165" fontId="8" fillId="0" borderId="1" pivotButton="0" quotePrefix="0" xfId="0"/>
    <xf numFmtId="3" fontId="8" fillId="0" borderId="1" pivotButton="0" quotePrefix="0" xfId="0"/>
    <xf numFmtId="9" fontId="8" fillId="0" borderId="1" pivotButton="0" quotePrefix="0" xfId="0"/>
    <xf numFmtId="165" fontId="5" fillId="0" borderId="1" pivotButton="0" quotePrefix="0" xfId="0"/>
    <xf numFmtId="3" fontId="5" fillId="0" borderId="1" pivotButton="0" quotePrefix="0" xfId="0"/>
    <xf numFmtId="9" fontId="5" fillId="0" borderId="1" pivotButton="0" quotePrefix="0" xfId="0"/>
    <xf numFmtId="3" fontId="6" fillId="2" borderId="1" pivotButton="0" quotePrefix="0" xfId="0"/>
    <xf numFmtId="1" fontId="10" fillId="0" borderId="0" applyAlignment="1" pivotButton="0" quotePrefix="0" xfId="0">
      <alignment horizontal="left"/>
    </xf>
    <xf numFmtId="3" fontId="10" fillId="0" borderId="0" applyAlignment="1" pivotButton="0" quotePrefix="0" xfId="0">
      <alignment horizontal="left"/>
    </xf>
    <xf numFmtId="9" fontId="10" fillId="0" borderId="0" applyAlignment="1" pivotButton="0" quotePrefix="0" xfId="0">
      <alignment horizontal="left"/>
    </xf>
    <xf numFmtId="165" fontId="10" fillId="0" borderId="0" applyAlignment="1" pivotButton="0" quotePrefix="0" xfId="0">
      <alignment horizontal="left"/>
    </xf>
    <xf numFmtId="0" fontId="4" fillId="0" borderId="1" pivotButton="0" quotePrefix="0" xfId="0"/>
    <xf numFmtId="1" fontId="5" fillId="0" borderId="1" pivotButton="0" quotePrefix="0" xfId="0"/>
    <xf numFmtId="0" fontId="5" fillId="0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B42318"/>
      </font>
    </dxf>
    <dxf>
      <font>
        <name val="Arial"/>
        <b val="1"/>
        <color rgb="0006764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Relationship Id="rId16" Type="http://schemas.openxmlformats.org/officeDocument/2006/relationships/connections" Target="connections.xml"/><Relationship Id="rId17" Type="http://schemas.openxmlformats.org/officeDocument/2006/relationships/customXml" Target="../customXml/item1.xml"/></Relationships>
</file>

<file path=xl/comments/comment1.xml><?xml version="1.0" encoding="utf-8"?>
<comments xmlns="http://schemas.openxmlformats.org/spreadsheetml/2006/main">
  <authors>
    <author>Lalan</author>
  </authors>
  <commentList>
    <comment ref="K3" authorId="0" shapeId="0">
      <text>
        <t>Pesos del puntaje (cámbialos si quieres). Volumen y dolor pesan más: ahí Lalan se nota primero.</t>
      </text>
    </comment>
    <comment ref="A4" authorId="0" shapeId="0">
      <text>
        <t>Escríbelo igual que en Lalan: así se enlaza solo con sus números.</t>
      </text>
    </comment>
    <comment ref="B4" authorId="0" shapeId="0">
      <text>
        <t>Se busca solo por el nombre en Datos salones. Si no lo encuentra, escribe aquí los 8 caracteres del ID.</t>
      </text>
    </comment>
    <comment ref="K4" authorId="0" shapeId="0">
      <text>
        <t>5 = le escriben muchísimo</t>
      </text>
    </comment>
    <comment ref="L4" authorId="0" shapeId="0">
      <text>
        <t>5 = se le escapan clientas por no contestar</t>
      </text>
    </comment>
    <comment ref="P4" authorId="0" shapeId="0">
      <text>
        <t>Promedio ponderado de las cinco notas, llevado a 100.</t>
      </text>
    </comment>
    <comment ref="Q4" authorId="0" shapeId="0">
      <text>
        <t>Sí = entra al piloto</t>
      </text>
    </comment>
    <comment ref="A5" authorId="0" shapeId="0">
      <text>
        <t>Fila de ejemplo: muestra el formato. No cuenta en el análisis (los datos empiezan en la fila siguiente).</t>
      </text>
    </comment>
  </commentList>
</comments>
</file>

<file path=xl/comments/comment2.xml><?xml version="1.0" encoding="utf-8"?>
<comments xmlns="http://schemas.openxmlformats.org/spreadsheetml/2006/main">
  <authors>
    <author>Lalan</author>
  </authors>
  <commentList>
    <comment ref="A4" authorId="0" shapeId="0">
      <text>
        <t>Elige de la lista (sale de Perfil).</t>
      </text>
    </comment>
    <comment ref="F4" authorId="0" shapeId="0">
      <text>
        <t>Lo que ella cree. Se compara con la espera real medida por Lalan.</t>
      </text>
    </comment>
    <comment ref="A5" authorId="0" shapeId="0">
      <text>
        <t>Fila de ejemplo: muestra el formato. No cuenta en el análisis (los datos empiezan en la fila siguiente).</t>
      </text>
    </comment>
  </commentList>
</comments>
</file>

<file path=xl/comments/comment3.xml><?xml version="1.0" encoding="utf-8"?>
<comments xmlns="http://schemas.openxmlformats.org/spreadsheetml/2006/main">
  <authors>
    <author>Lalan</author>
  </authors>
  <commentList>
    <comment ref="A4" authorId="0" shapeId="0">
      <text>
        <t>Cualquier fecha de la semana: se cuenta de lunes a domingo.</t>
      </text>
    </comment>
    <comment ref="M4" authorId="0" shapeId="0">
      <text>
        <t>Lo que ella estima.</t>
      </text>
    </comment>
    <comment ref="Q4" authorId="0" shapeId="0">
      <text>
        <t>De la plataforma, esa semana.</t>
      </text>
    </comment>
    <comment ref="R4" authorId="0" shapeId="0">
      <text>
        <t>Respuestas de Lalan entre todas las respuestas (Lalan + equipo).</t>
      </text>
    </comment>
    <comment ref="S4" authorId="0" shapeId="0">
      <text>
        <t>Veces que Lalan pasó el chat a una persona.</t>
      </text>
    </comment>
    <comment ref="V4" authorId="0" shapeId="0">
      <text>
        <t>Cuando una persona contesta, cuánto esperó la clienta (mediana de los días con datos).</t>
      </text>
    </comment>
    <comment ref="A5" authorId="0" shapeId="0">
      <text>
        <t>Fila de ejemplo: muestra el formato. No cuenta en el análisis (los datos empiezan en la fila siguiente).</t>
      </text>
    </comment>
  </commentList>
</comments>
</file>

<file path=xl/comments/comment4.xml><?xml version="1.0" encoding="utf-8"?>
<comments xmlns="http://schemas.openxmlformats.org/spreadsheetml/2006/main">
  <authors>
    <author>Lalan</author>
  </authors>
  <commentList>
    <comment ref="A5" authorId="0" shapeId="0">
      <text>
        <t>Fila de ejemplo: muestra el formato. No cuenta en el análisis (los datos empiezan en la fila siguiente).</t>
      </text>
    </comment>
  </commentList>
</comments>
</file>

<file path=xl/comments/comment5.xml><?xml version="1.0" encoding="utf-8"?>
<comments xmlns="http://schemas.openxmlformats.org/spreadsheetml/2006/main">
  <authors>
    <author>Lalan</author>
  </authors>
  <commentList>
    <comment ref="A5" authorId="0" shapeId="0">
      <text>
        <t>Fila de ejemplo: muestra el formato. No cuenta en el análisis (los datos empiezan en la fila siguiente).</t>
      </text>
    </comment>
  </commentList>
</comments>
</file>

<file path=xl/comments/comment6.xml><?xml version="1.0" encoding="utf-8"?>
<comments xmlns="http://schemas.openxmlformats.org/spreadsheetml/2006/main">
  <authors>
    <author>Lalan</author>
  </authors>
  <commentList>
    <comment ref="C4" authorId="0" shapeId="0">
      <text>
        <t>NPS: 9-10 promotora, 7-8 pasiva, 0-6 detractora.</t>
      </text>
    </comment>
    <comment ref="A5" authorId="0" shapeId="0">
      <text>
        <t>Fila de ejemplo: muestra el formato. No cuenta en el análisis (los datos empiezan en la fila siguiente).</t>
      </text>
    </comment>
  </commentList>
</comments>
</file>

<file path=xl/comments/comment7.xml><?xml version="1.0" encoding="utf-8"?>
<comments xmlns="http://schemas.openxmlformats.org/spreadsheetml/2006/main">
  <authors>
    <author>Lalan</author>
  </authors>
  <commentList>
    <comment ref="I11" authorId="0" shapeId="0">
      <text>
        <t>Mediana medida por Lalan, promedio de los días con datos.</t>
      </text>
    </comment>
    <comment ref="J11" authorId="0" shapeId="0">
      <text>
        <t>De la Línea base (lo que ella creía).</t>
      </text>
    </comment>
    <comment ref="M11" authorId="0" shapeId="0">
      <text>
        <t>Citas pasadas que nadie marcó como atendidas o canceladas: posibles faltas.</t>
      </text>
    </comment>
    <comment ref="Y11" authorId="0" shapeId="0">
      <text>
        <t>Testimonio: NPS 9-10 y Lalan responde 60 % o más. Riesgo: NPS 0-6.</t>
      </text>
    </comment>
  </commentList>
</comment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3">
    <queryTableFields count="12">
      <queryTableField id="1" name="salon_id" tableColumnId="1"/>
      <queryTableField id="2" name="salon" tableColumnId="2"/>
      <queryTableField id="3" name="plan" tableColumnId="3"/>
      <queryTableField id="4" name="activo" tableColumnId="4"/>
      <queryTableField id="5" name="alta" tableColumnId="5"/>
      <queryTableField id="6" name="dias_en_lalan" tableColumnId="6"/>
      <queryTableField id="7" name="sedes" tableColumnId="7"/>
      <queryTableField id="8" name="usuarios_activos" tableColumnId="8"/>
      <queryTableField id="9" name="especialistas" tableColumnId="9"/>
      <queryTableField id="10" name="tope_mensajes_mes" tableColumnId="10"/>
      <queryTableField id="11" name="mensajes_lalan_mes" tableColumnId="11"/>
      <queryTableField id="12" name="fuera_de_estadisticas" tableColumnId="12"/>
    </queryTableFields>
  </queryTableRefresh>
</queryTable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>
  <queryTableRefresh nextId="30">
    <queryTableFields count="29">
      <queryTableField id="1" name="fecha" tableColumnId="1"/>
      <queryTableField id="2" name="semana" tableColumnId="2"/>
      <queryTableField id="3" name="salon_id" tableColumnId="3"/>
      <queryTableField id="4" name="salon" tableColumnId="4"/>
      <queryTableField id="5" name="mensajes_clientas" tableColumnId="5"/>
      <queryTableField id="6" name="respuestas_lalan" tableColumnId="6"/>
      <queryTableField id="7" name="respuestas_equipo" tableColumnId="7"/>
      <queryTableField id="8" name="chats_nuevos" tableColumnId="8"/>
      <queryTableField id="9" name="pases_a_persona" tableColumnId="9"/>
      <queryTableField id="10" name="sin_mensajes_plan" tableColumnId="10"/>
      <queryTableField id="11" name="fallos_lalan" tableColumnId="11"/>
      <queryTableField id="12" name="respuestas_equipo_medidas" tableColumnId="12"/>
      <queryTableField id="13" name="espera_mediana_min" tableColumnId="13"/>
      <queryTableField id="14" name="respuestas_lentas_30min" tableColumnId="14"/>
      <queryTableField id="15" name="citas_agendadas" tableColumnId="15"/>
      <queryTableField id="16" name="citas_por_lalan" tableColumnId="16"/>
      <queryTableField id="17" name="citas_del_dia" tableColumnId="17"/>
      <queryTableField id="18" name="citas_atendidas" tableColumnId="18"/>
      <queryTableField id="19" name="citas_canceladas" tableColumnId="19"/>
      <queryTableField id="20" name="citas_sin_marcar" tableColumnId="20"/>
      <queryTableField id="21" name="minutos_app" tableColumnId="21"/>
      <queryTableField id="22" name="pantallas_vistas" tableColumnId="22"/>
      <queryTableField id="23" name="toques" tableColumnId="23"/>
      <queryTableField id="24" name="preguntas_lalan" tableColumnId="24"/>
      <queryTableField id="25" name="preguntas_por_voz" tableColumnId="25"/>
      <queryTableField id="26" name="acciones_aceptadas" tableColumnId="26"/>
      <queryTableField id="27" name="informes_enviados" tableColumnId="27"/>
      <queryTableField id="28" name="informes_abiertos" tableColumnId="28"/>
      <queryTableField id="29" name="ventas_cobradas" tableColumnId="29"/>
    </queryTableFields>
  </queryTableRefresh>
</queryTable>
</file>

<file path=xl/queryTables/queryTable3.xml><?xml version="1.0" encoding="utf-8"?>
<queryTable xmlns="http://schemas.openxmlformats.org/spreadsheetml/2006/main" name="ExternalData_3" connectionId="3" autoFormatId="16" applyNumberFormats="0" applyBorderFormats="0" applyFontFormats="0" applyPatternFormats="0" applyAlignmentFormats="0" applyWidthHeightFormats="0">
  <queryTableRefresh nextId="8">
    <queryTableFields count="7">
      <queryTableField id="1" name="semana" tableColumnId="1"/>
      <queryTableField id="2" name="salon_id" tableColumnId="2"/>
      <queryTableField id="3" name="salon" tableColumnId="3"/>
      <queryTableField id="4" name="pantalla" tableColumnId="4"/>
      <queryTableField id="5" name="rol" tableColumnId="5"/>
      <queryTableField id="6" name="visitas" tableColumnId="6"/>
      <queryTableField id="7" name="minutos" tableColumnId="7"/>
    </queryTableFields>
  </queryTableRefresh>
</queryTable>
</file>

<file path=xl/tables/_rels/table1.xml.rels><?xml version="1.0" encoding="UTF-8" standalone="yes"?>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tableType="queryTable" id="1" name="Salones" displayName="Salones" ref="A1:L2" headerRowCount="1">
  <autoFilter ref="A1:L2"/>
  <tableColumns count="12">
    <tableColumn id="1" name="salon_id" uniqueName="1" queryTableFieldId="1"/>
    <tableColumn id="2" name="salon" uniqueName="2" queryTableFieldId="2"/>
    <tableColumn id="3" name="plan" uniqueName="3" queryTableFieldId="3"/>
    <tableColumn id="4" name="activo" uniqueName="4" queryTableFieldId="4"/>
    <tableColumn id="5" name="alta" uniqueName="5" queryTableFieldId="5"/>
    <tableColumn id="6" name="dias_en_lalan" uniqueName="6" queryTableFieldId="6"/>
    <tableColumn id="7" name="sedes" uniqueName="7" queryTableFieldId="7"/>
    <tableColumn id="8" name="usuarios_activos" uniqueName="8" queryTableFieldId="8"/>
    <tableColumn id="9" name="especialistas" uniqueName="9" queryTableFieldId="9"/>
    <tableColumn id="10" name="tope_mensajes_mes" uniqueName="10" queryTableFieldId="10"/>
    <tableColumn id="11" name="mensajes_lalan_mes" uniqueName="11" queryTableFieldId="11"/>
    <tableColumn id="12" name="fuera_de_estadisticas" uniqueName="12" queryTableFieldId="12"/>
  </tableColumns>
  <tableStyleInfo name="TableStyleLight10" showRowStripes="1"/>
</table>
</file>

<file path=xl/tables/table2.xml><?xml version="1.0" encoding="utf-8"?>
<table xmlns="http://schemas.openxmlformats.org/spreadsheetml/2006/main" tableType="queryTable" id="2" name="Diario" displayName="Diario" ref="A1:AC2" headerRowCount="1">
  <autoFilter ref="A1:AC2"/>
  <tableColumns count="29">
    <tableColumn id="1" name="fecha" uniqueName="1" queryTableFieldId="1"/>
    <tableColumn id="2" name="semana" uniqueName="2" queryTableFieldId="2"/>
    <tableColumn id="3" name="salon_id" uniqueName="3" queryTableFieldId="3"/>
    <tableColumn id="4" name="salon" uniqueName="4" queryTableFieldId="4"/>
    <tableColumn id="5" name="mensajes_clientas" uniqueName="5" queryTableFieldId="5"/>
    <tableColumn id="6" name="respuestas_lalan" uniqueName="6" queryTableFieldId="6"/>
    <tableColumn id="7" name="respuestas_equipo" uniqueName="7" queryTableFieldId="7"/>
    <tableColumn id="8" name="chats_nuevos" uniqueName="8" queryTableFieldId="8"/>
    <tableColumn id="9" name="pases_a_persona" uniqueName="9" queryTableFieldId="9"/>
    <tableColumn id="10" name="sin_mensajes_plan" uniqueName="10" queryTableFieldId="10"/>
    <tableColumn id="11" name="fallos_lalan" uniqueName="11" queryTableFieldId="11"/>
    <tableColumn id="12" name="respuestas_equipo_medidas" uniqueName="12" queryTableFieldId="12"/>
    <tableColumn id="13" name="espera_mediana_min" uniqueName="13" queryTableFieldId="13"/>
    <tableColumn id="14" name="respuestas_lentas_30min" uniqueName="14" queryTableFieldId="14"/>
    <tableColumn id="15" name="citas_agendadas" uniqueName="15" queryTableFieldId="15"/>
    <tableColumn id="16" name="citas_por_lalan" uniqueName="16" queryTableFieldId="16"/>
    <tableColumn id="17" name="citas_del_dia" uniqueName="17" queryTableFieldId="17"/>
    <tableColumn id="18" name="citas_atendidas" uniqueName="18" queryTableFieldId="18"/>
    <tableColumn id="19" name="citas_canceladas" uniqueName="19" queryTableFieldId="19"/>
    <tableColumn id="20" name="citas_sin_marcar" uniqueName="20" queryTableFieldId="20"/>
    <tableColumn id="21" name="minutos_app" uniqueName="21" queryTableFieldId="21"/>
    <tableColumn id="22" name="pantallas_vistas" uniqueName="22" queryTableFieldId="22"/>
    <tableColumn id="23" name="toques" uniqueName="23" queryTableFieldId="23"/>
    <tableColumn id="24" name="preguntas_lalan" uniqueName="24" queryTableFieldId="24"/>
    <tableColumn id="25" name="preguntas_por_voz" uniqueName="25" queryTableFieldId="25"/>
    <tableColumn id="26" name="acciones_aceptadas" uniqueName="26" queryTableFieldId="26"/>
    <tableColumn id="27" name="informes_enviados" uniqueName="27" queryTableFieldId="27"/>
    <tableColumn id="28" name="informes_abiertos" uniqueName="28" queryTableFieldId="28"/>
    <tableColumn id="29" name="ventas_cobradas" uniqueName="29" queryTableFieldId="29"/>
  </tableColumns>
  <tableStyleInfo name="TableStyleLight10" showRowStripes="1"/>
</table>
</file>

<file path=xl/tables/table3.xml><?xml version="1.0" encoding="utf-8"?>
<table xmlns="http://schemas.openxmlformats.org/spreadsheetml/2006/main" tableType="queryTable" id="3" name="Pantallas" displayName="Pantallas" ref="A1:G2" headerRowCount="1">
  <autoFilter ref="A1:G2"/>
  <tableColumns count="7">
    <tableColumn id="1" name="semana" uniqueName="1" queryTableFieldId="1"/>
    <tableColumn id="2" name="salon_id" uniqueName="2" queryTableFieldId="2"/>
    <tableColumn id="3" name="salon" uniqueName="3" queryTableFieldId="3"/>
    <tableColumn id="4" name="pantalla" uniqueName="4" queryTableFieldId="4"/>
    <tableColumn id="5" name="rol" uniqueName="5" queryTableFieldId="5"/>
    <tableColumn id="6" name="visitas" uniqueName="6" queryTableFieldId="6"/>
    <tableColumn id="7" name="minutos" uniqueName="7" queryTableFieldId="7"/>
  </tableColumns>
  <tableStyleInfo name="TableStyleLight1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1">
      <c r="B1" s="1" t="inlineStr">
        <is>
          <t>Lalan · Piloto</t>
        </is>
      </c>
    </row>
    <row r="2">
      <c r="B2" s="2" t="inlineStr">
        <is>
          <t>Lo que dicen las dueñas, sus equipos y sus clientas, al lado de lo que muestran los números de la plataforma.</t>
        </is>
      </c>
    </row>
    <row r="4">
      <c r="B4" s="3" t="inlineStr">
        <is>
          <t>Cómo se usa</t>
        </is>
      </c>
    </row>
    <row r="5">
      <c r="B5" s="4" t="inlineStr">
        <is>
          <t>1. Conecta</t>
        </is>
      </c>
      <c r="C5" s="5" t="inlineStr">
        <is>
          <t>En la hoja Conexión pega la clave de reportes (se genera en Plataforma → Piloto) y dale Datos → Actualizar todo.</t>
        </is>
      </c>
    </row>
    <row r="6">
      <c r="B6" s="4" t="inlineStr">
        <is>
          <t>2. Elige salones</t>
        </is>
      </c>
      <c r="C6" s="5" t="inlineStr">
        <is>
          <t>En Perfil apunta cada salón candidato y puntúalo. Marca "Sí" en Seleccionado a los del piloto.</t>
        </is>
      </c>
    </row>
    <row r="7">
      <c r="B7" s="4" t="inlineStr">
        <is>
          <t>3. Día 0</t>
        </is>
      </c>
      <c r="C7" s="5" t="inlineStr">
        <is>
          <t>Antes de instalar, llena la Línea base con la dueña (cómo trabaja hoy).</t>
        </is>
      </c>
    </row>
    <row r="8">
      <c r="B8" s="4" t="inlineStr">
        <is>
          <t>4. Cada semana</t>
        </is>
      </c>
      <c r="C8" s="5" t="inlineStr">
        <is>
          <t>15 minutos con cada dueña: una fila en Revisión semanal. Los números de esa semana se llenan solos.</t>
        </is>
      </c>
    </row>
    <row r="9">
      <c r="B9" s="4" t="inlineStr">
        <is>
          <t>5. Encuestas</t>
        </is>
      </c>
      <c r="C9" s="5" t="inlineStr">
        <is>
          <t>Clientas y Equipo: pásalas por Google Forms o Microsoft Forms (las preguntas están en Formularios) y pega aquí las respuestas.</t>
        </is>
      </c>
    </row>
    <row r="10">
      <c r="B10" s="4" t="inlineStr">
        <is>
          <t>6. Cierre</t>
        </is>
      </c>
      <c r="C10" s="5" t="inlineStr">
        <is>
          <t>Al final del piloto: NPS, si seguiría, cuánto pagaría y su testimonio.</t>
        </is>
      </c>
    </row>
    <row r="11">
      <c r="B11" s="4" t="inlineStr">
        <is>
          <t>7. Análisis</t>
        </is>
      </c>
      <c r="C11" s="5" t="inlineStr">
        <is>
          <t>Cruza todo por salón. Actualiza los datos antes de mirarlo.</t>
        </is>
      </c>
    </row>
    <row r="13">
      <c r="B13" s="3" t="inlineStr">
        <is>
          <t>Qué es cada color</t>
        </is>
      </c>
    </row>
    <row r="14">
      <c r="B14" s="6" t="inlineStr">
        <is>
          <t>Lo llenas tú</t>
        </is>
      </c>
      <c r="C14" s="7" t="inlineStr">
        <is>
          <t>Celdas amarillas con letra azul.</t>
        </is>
      </c>
    </row>
    <row r="15">
      <c r="B15" s="8" t="inlineStr">
        <is>
          <t>Se calcula solo</t>
        </is>
      </c>
      <c r="C15" s="7" t="inlineStr">
        <is>
          <t>Encabezados grises: fórmulas o datos de la plataforma. No hace falta tocarlos.</t>
        </is>
      </c>
    </row>
    <row r="16">
      <c r="B16" s="9" t="inlineStr">
        <is>
          <t>Ejemplo</t>
        </is>
      </c>
      <c r="C16" s="7" t="inlineStr">
        <is>
          <t>La primera fila de cada cuestionario es un ejemplo en gris. No cuenta en el análisis; puedes dejarla.</t>
        </is>
      </c>
    </row>
    <row r="19">
      <c r="B19" s="3" t="inlineStr">
        <is>
          <t>Privacidad</t>
        </is>
      </c>
    </row>
    <row r="20" ht="30" customHeight="1">
      <c r="C20" s="5" t="inlineStr">
        <is>
          <t>La plataforma solo manda números por salón y por día. Ningún nombre de clienta, texto de chat ni monto de dinero sale de Lalan. Las respuestas de las encuestas viven solo en este archivo.</t>
        </is>
      </c>
    </row>
    <row r="22">
      <c r="B22" s="3" t="inlineStr">
        <is>
          <t>Hojas</t>
        </is>
      </c>
    </row>
    <row r="23">
      <c r="B23" s="4" t="inlineStr">
        <is>
          <t>Conexión</t>
        </is>
      </c>
      <c r="C23" s="7" t="inlineStr">
        <is>
          <t>Dirección, clave y desde qué fecha traer los datos.</t>
        </is>
      </c>
    </row>
    <row r="24">
      <c r="B24" s="4" t="inlineStr">
        <is>
          <t>Perfil</t>
        </is>
      </c>
      <c r="C24" s="7" t="inlineStr">
        <is>
          <t>Salones candidatos, puntaje de selección y quién entra.</t>
        </is>
      </c>
    </row>
    <row r="25">
      <c r="B25" s="4" t="inlineStr">
        <is>
          <t>Línea base</t>
        </is>
      </c>
      <c r="C25" s="7" t="inlineStr">
        <is>
          <t>Cómo trabajaba cada salón antes de Lalan (día 0).</t>
        </is>
      </c>
    </row>
    <row r="26">
      <c r="B26" s="4" t="inlineStr">
        <is>
          <t>Revisión semanal</t>
        </is>
      </c>
      <c r="C26" s="7" t="inlineStr">
        <is>
          <t>Nota de 1 a 5 por módulo, horas ahorradas y comentarios, con los números de la semana.</t>
        </is>
      </c>
    </row>
    <row r="27">
      <c r="B27" s="4" t="inlineStr">
        <is>
          <t>Clientas</t>
        </is>
      </c>
      <c r="C27" s="7" t="inlineStr">
        <is>
          <t>Respuestas de la encuesta a clientas.</t>
        </is>
      </c>
    </row>
    <row r="28">
      <c r="B28" s="4" t="inlineStr">
        <is>
          <t>Equipo</t>
        </is>
      </c>
      <c r="C28" s="7" t="inlineStr">
        <is>
          <t>Respuestas de la encuesta al equipo del salón.</t>
        </is>
      </c>
    </row>
    <row r="29">
      <c r="B29" s="4" t="inlineStr">
        <is>
          <t>Cierre</t>
        </is>
      </c>
      <c r="C29" s="7" t="inlineStr">
        <is>
          <t>Entrevista final: NPS, precio, testimonio.</t>
        </is>
      </c>
    </row>
    <row r="30">
      <c r="B30" s="4" t="inlineStr">
        <is>
          <t>Análisis</t>
        </is>
      </c>
      <c r="C30" s="7" t="inlineStr">
        <is>
          <t>El cruce por salón y el resumen del piloto.</t>
        </is>
      </c>
    </row>
    <row r="31">
      <c r="B31" s="4" t="inlineStr">
        <is>
          <t>Formularios</t>
        </is>
      </c>
      <c r="C31" s="7" t="inlineStr">
        <is>
          <t>Las preguntas listas para Google Forms o Microsoft Forms.</t>
        </is>
      </c>
    </row>
    <row r="32">
      <c r="B32" s="4" t="inlineStr">
        <is>
          <t>Datos …</t>
        </is>
      </c>
      <c r="C32" s="7" t="inlineStr">
        <is>
          <t>Las tres tablas que baja Power Query. No escribas en ellas: se reemplazan al actualizar.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60" customWidth="1" min="4" max="4"/>
  </cols>
  <sheetData>
    <row r="1">
      <c r="B1" s="1" t="inlineStr">
        <is>
          <t>Conexión con la plataforma</t>
        </is>
      </c>
    </row>
    <row r="2">
      <c r="B2" s="2" t="inlineStr">
        <is>
          <t>Excel de escritorio (Windows o Mac) con Power Query. Datos → Actualizar todo baja los números al día.</t>
        </is>
      </c>
    </row>
    <row r="5" ht="40" customHeight="1">
      <c r="B5" s="10" t="inlineStr">
        <is>
          <t>Dirección de la API</t>
        </is>
      </c>
      <c r="C5" s="11" t="inlineStr">
        <is>
          <t>https://api.lalan.gomezsantana.com/api/v1</t>
        </is>
      </c>
      <c r="D5" s="12" t="inlineStr">
        <is>
          <t>Ya viene escrita. Solo cámbiala si la API se muda.</t>
        </is>
      </c>
    </row>
    <row r="6" ht="40" customHeight="1">
      <c r="B6" s="10" t="inlineStr">
        <is>
          <t>Clave de reportes</t>
        </is>
      </c>
      <c r="C6" s="11" t="n"/>
      <c r="D6" s="12" t="inlineStr">
        <is>
          <t>Pégala aquí. Se genera en Plataforma → Piloto → Números del piloto en Excel. Empieza con lalan_rep_. Es de solo lectura; si se filtra, revócala y genera otra.</t>
        </is>
      </c>
    </row>
    <row r="7" ht="40" customHeight="1">
      <c r="B7" s="10" t="inlineStr">
        <is>
          <t>Traer datos desde</t>
        </is>
      </c>
      <c r="C7" s="13" t="n"/>
      <c r="D7" s="12" t="inlineStr">
        <is>
          <t>Opcional: una fecha (por ejemplo el día 0 del piloto). Vacío = los últimos 120 días.</t>
        </is>
      </c>
    </row>
    <row r="10">
      <c r="B10" s="3" t="inlineStr">
        <is>
          <t>Primera vez</t>
        </is>
      </c>
    </row>
    <row r="11" ht="30" customHeight="1">
      <c r="B11" s="14" t="inlineStr">
        <is>
          <t>1.</t>
        </is>
      </c>
      <c r="C11" s="5" t="inlineStr">
        <is>
          <t>Pega la clave en la celda amarilla y ve a Datos → Actualizar todo.</t>
        </is>
      </c>
    </row>
    <row r="12" ht="30" customHeight="1">
      <c r="B12" s="14" t="inlineStr">
        <is>
          <t>2.</t>
        </is>
      </c>
      <c r="C12" s="5" t="inlineStr">
        <is>
          <t>Excel pregunta cómo entrar a la dirección web: elige Anónimo y dale Conectar.</t>
        </is>
      </c>
    </row>
    <row r="13" ht="30" customHeight="1">
      <c r="B13" s="14" t="inlineStr">
        <is>
          <t>3.</t>
        </is>
      </c>
      <c r="C13" s="5" t="inlineStr">
        <is>
          <t>Si pregunta por la privacidad de los datos, marca "Omitir comprobaciones de niveles de privacidad" (o pon las dos fuentes como Organizativo) y Guardar.</t>
        </is>
      </c>
    </row>
    <row r="14" ht="30" customHeight="1">
      <c r="B14" s="14" t="inlineStr">
        <is>
          <t>4.</t>
        </is>
      </c>
      <c r="C14" s="5" t="inlineStr">
        <is>
          <t>Listo: las hojas Datos salones, Datos diario y Datos pantallas se llenan, y con ellas la Revisión semanal y el Análisis.</t>
        </is>
      </c>
    </row>
    <row r="17">
      <c r="B17" s="3" t="inlineStr">
        <is>
          <t>Si algo falla</t>
        </is>
      </c>
    </row>
    <row r="18" ht="30" customHeight="1">
      <c r="B18" s="15" t="inlineStr">
        <is>
          <t>"La clave no sirve o fue revocada"</t>
        </is>
      </c>
      <c r="C18" s="5" t="inlineStr">
        <is>
          <t>Genera otra en Plataforma → Piloto y pégala en la celda amarilla.</t>
        </is>
      </c>
    </row>
    <row r="19" ht="30" customHeight="1">
      <c r="B19" s="15" t="inlineStr">
        <is>
          <t>"Demasiadas actualizaciones seguidas"</t>
        </is>
      </c>
      <c r="C19" s="5" t="inlineStr">
        <is>
          <t>Espera un minuto y vuelve a actualizar.</t>
        </is>
      </c>
    </row>
    <row r="20" ht="30" customHeight="1">
      <c r="B20" s="15" t="inlineStr">
        <is>
          <t>"Falta la clave de reportes"</t>
        </is>
      </c>
      <c r="C20" s="5" t="inlineStr">
        <is>
          <t>La celda de la clave está vacía.</t>
        </is>
      </c>
    </row>
    <row r="21" ht="30" customHeight="1">
      <c r="B21" s="15" t="inlineStr">
        <is>
          <t>Pide usuario y contraseña</t>
        </is>
      </c>
      <c r="C21" s="5" t="inlineStr">
        <is>
          <t>Datos → Obtener datos → Configuración de origen de datos → elige la dirección → Editar permisos → Anónimo.</t>
        </is>
      </c>
    </row>
    <row r="22" ht="30" customHeight="1">
      <c r="B22" s="15" t="inlineStr">
        <is>
          <t>Error de privacidad (Formula.Firewall)</t>
        </is>
      </c>
      <c r="C22" s="5" t="inlineStr">
        <is>
          <t>Datos → Obtener datos → Opciones de consulta → Libro actual → Privacidad → Omitir los niveles de privacidad.</t>
        </is>
      </c>
    </row>
    <row r="23" ht="30" customHeight="1">
      <c r="B23" s="15" t="inlineStr">
        <is>
          <t>Mac</t>
        </is>
      </c>
      <c r="C23" s="5" t="inlineStr">
        <is>
          <t>Funciona igual con Excel 365 para Mac (Datos → Actualizar todo).</t>
        </is>
      </c>
    </row>
  </sheetData>
  <dataValidations count="1">
    <dataValidation sqref="C7" showDropDown="0" showInputMessage="0" showErrorMessage="0" allowBlank="1" error="Pon una fecha, por ejemplo 2026-10-01." type="date" operator="greaterThan">
      <formula1>DATE(2025,1,1)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5" customWidth="1" min="10" max="10"/>
    <col width="11" customWidth="1" min="11" max="11"/>
    <col width="11" customWidth="1" min="12" max="12"/>
    <col width="11" customWidth="1" min="13" max="13"/>
    <col width="12" customWidth="1" min="14" max="14"/>
    <col width="13" customWidth="1" min="15" max="15"/>
    <col width="11" customWidth="1" min="16" max="16"/>
    <col width="13" customWidth="1" min="17" max="17"/>
    <col width="40" customWidth="1" min="18" max="18"/>
  </cols>
  <sheetData>
    <row r="1" ht="30" customHeight="1">
      <c r="A1" s="1" t="inlineStr">
        <is>
          <t>Perfil y selección de salones</t>
        </is>
      </c>
    </row>
    <row r="2">
      <c r="A2" s="2" t="inlineStr">
        <is>
          <t>Una fila por salón candidato. Puntúa del 1 al 5; el puntaje (0 a 100) usa los pesos de la fila 3.</t>
        </is>
      </c>
    </row>
    <row r="3">
      <c r="J3" s="16" t="inlineStr">
        <is>
          <t>Pesos →</t>
        </is>
      </c>
      <c r="K3" s="17" t="n">
        <v>3</v>
      </c>
      <c r="L3" s="17" t="n">
        <v>3</v>
      </c>
      <c r="M3" s="17" t="n">
        <v>2</v>
      </c>
      <c r="N3" s="17" t="n">
        <v>1</v>
      </c>
      <c r="O3" s="17" t="n">
        <v>2</v>
      </c>
    </row>
    <row r="4" ht="48" customHeight="1">
      <c r="A4" s="18" t="inlineStr">
        <is>
          <t>Salón</t>
        </is>
      </c>
      <c r="B4" s="19" t="inlineStr">
        <is>
          <t>ID en Lalan</t>
        </is>
      </c>
      <c r="C4" s="18" t="inlineStr">
        <is>
          <t>Dueña</t>
        </is>
      </c>
      <c r="D4" s="18" t="inlineStr">
        <is>
          <t>Ciudad</t>
        </is>
      </c>
      <c r="E4" s="18" t="inlineStr">
        <is>
          <t>Tipo</t>
        </is>
      </c>
      <c r="F4" s="18" t="inlineStr">
        <is>
          <t>Sedes</t>
        </is>
      </c>
      <c r="G4" s="18" t="inlineStr">
        <is>
          <t>Especialistas</t>
        </is>
      </c>
      <c r="H4" s="18" t="inlineStr">
        <is>
          <t>Citas por semana (aprox.)</t>
        </is>
      </c>
      <c r="I4" s="18" t="inlineStr">
        <is>
          <t>Mensajes de WhatsApp al día (aprox.)</t>
        </is>
      </c>
      <c r="J4" s="18" t="inlineStr">
        <is>
          <t>Cómo agenda hoy</t>
        </is>
      </c>
      <c r="K4" s="18" t="inlineStr">
        <is>
          <t>Volumen de chats (1-5)</t>
        </is>
      </c>
      <c r="L4" s="18" t="inlineStr">
        <is>
          <t>Dolor por responder (1-5)</t>
        </is>
      </c>
      <c r="M4" s="18" t="inlineStr">
        <is>
          <t>Ganas de probar y opinar (1-5)</t>
        </is>
      </c>
      <c r="N4" s="18" t="inlineStr">
        <is>
          <t>Facilidad con la tecnología (1-5)</t>
        </is>
      </c>
      <c r="O4" s="18" t="inlineStr">
        <is>
          <t>Tiempo para la revisión semanal (1-5)</t>
        </is>
      </c>
      <c r="P4" s="19" t="inlineStr">
        <is>
          <t>Puntaje (0-100)</t>
        </is>
      </c>
      <c r="Q4" s="18" t="inlineStr">
        <is>
          <t>Seleccionado</t>
        </is>
      </c>
      <c r="R4" s="18" t="inlineStr">
        <is>
          <t>Notas</t>
        </is>
      </c>
    </row>
    <row r="5">
      <c r="A5" s="20" t="inlineStr">
        <is>
          <t>Salón Ejemplo</t>
        </is>
      </c>
      <c r="B5" s="20">
        <f>IF(A5="","",IFERROR(INDEX('Datos salones'!$A:$A,MATCH(A5,'Datos salones'!$B:$B,0)),"no está en Lalan"))</f>
        <v/>
      </c>
      <c r="C5" s="20" t="inlineStr">
        <is>
          <t>Ana Pérez</t>
        </is>
      </c>
      <c r="D5" s="20" t="inlineStr">
        <is>
          <t>Santiago</t>
        </is>
      </c>
      <c r="E5" s="20" t="inlineStr">
        <is>
          <t>Uñas</t>
        </is>
      </c>
      <c r="F5" s="20" t="n">
        <v>1</v>
      </c>
      <c r="G5" s="20" t="n">
        <v>4</v>
      </c>
      <c r="H5" s="20" t="n">
        <v>60</v>
      </c>
      <c r="I5" s="20" t="n">
        <v>40</v>
      </c>
      <c r="J5" s="20" t="inlineStr">
        <is>
          <t>WhatsApp</t>
        </is>
      </c>
      <c r="K5" s="20" t="n">
        <v>4</v>
      </c>
      <c r="L5" s="20" t="n">
        <v>5</v>
      </c>
      <c r="M5" s="20" t="n">
        <v>4</v>
      </c>
      <c r="N5" s="20" t="n">
        <v>3</v>
      </c>
      <c r="O5" s="20" t="n">
        <v>4</v>
      </c>
      <c r="P5" s="21">
        <f>IF(COUNT(K5:O5)=0,"",ROUND(SUMPRODUCT(K5:O5,$K$3:$O$3)/SUMPRODUCT(--(K5:O5&lt;&gt;""),$K$3:$O$3)*20,0))</f>
        <v/>
      </c>
      <c r="Q5" s="20" t="inlineStr">
        <is>
          <t>Sí</t>
        </is>
      </c>
      <c r="R5" s="20" t="inlineStr">
        <is>
          <t>Tiene dos recepcionistas; contesta de noche</t>
        </is>
      </c>
    </row>
    <row r="6">
      <c r="A6" s="22" t="n"/>
      <c r="B6" s="23">
        <f>IF(A6="","",IFERROR(INDEX('Datos salones'!$A:$A,MATCH(A6,'Datos salones'!$B:$B,0)),"no está en Lalan"))</f>
        <v/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4">
        <f>IF(COUNT(K6:O6)=0,"",ROUND(SUMPRODUCT(K6:O6,$K$3:$O$3)/SUMPRODUCT(--(K6:O6&lt;&gt;""),$K$3:$O$3)*20,0))</f>
        <v/>
      </c>
      <c r="Q6" s="22" t="n"/>
      <c r="R6" s="22" t="n"/>
    </row>
    <row r="7">
      <c r="A7" s="22" t="n"/>
      <c r="B7" s="23">
        <f>IF(A7="","",IFERROR(INDEX('Datos salones'!$A:$A,MATCH(A7,'Datos salones'!$B:$B,0)),"no está en Lalan"))</f>
        <v/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4">
        <f>IF(COUNT(K7:O7)=0,"",ROUND(SUMPRODUCT(K7:O7,$K$3:$O$3)/SUMPRODUCT(--(K7:O7&lt;&gt;""),$K$3:$O$3)*20,0))</f>
        <v/>
      </c>
      <c r="Q7" s="22" t="n"/>
      <c r="R7" s="22" t="n"/>
    </row>
    <row r="8">
      <c r="A8" s="22" t="n"/>
      <c r="B8" s="23">
        <f>IF(A8="","",IFERROR(INDEX('Datos salones'!$A:$A,MATCH(A8,'Datos salones'!$B:$B,0)),"no está en Lalan"))</f>
        <v/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4">
        <f>IF(COUNT(K8:O8)=0,"",ROUND(SUMPRODUCT(K8:O8,$K$3:$O$3)/SUMPRODUCT(--(K8:O8&lt;&gt;""),$K$3:$O$3)*20,0))</f>
        <v/>
      </c>
      <c r="Q8" s="22" t="n"/>
      <c r="R8" s="22" t="n"/>
    </row>
    <row r="9">
      <c r="A9" s="22" t="n"/>
      <c r="B9" s="23">
        <f>IF(A9="","",IFERROR(INDEX('Datos salones'!$A:$A,MATCH(A9,'Datos salones'!$B:$B,0)),"no está en Lalan"))</f>
        <v/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4">
        <f>IF(COUNT(K9:O9)=0,"",ROUND(SUMPRODUCT(K9:O9,$K$3:$O$3)/SUMPRODUCT(--(K9:O9&lt;&gt;""),$K$3:$O$3)*20,0))</f>
        <v/>
      </c>
      <c r="Q9" s="22" t="n"/>
      <c r="R9" s="22" t="n"/>
    </row>
    <row r="10">
      <c r="A10" s="22" t="n"/>
      <c r="B10" s="23">
        <f>IF(A10="","",IFERROR(INDEX('Datos salones'!$A:$A,MATCH(A10,'Datos salones'!$B:$B,0)),"no está en Lalan"))</f>
        <v/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4">
        <f>IF(COUNT(K10:O10)=0,"",ROUND(SUMPRODUCT(K10:O10,$K$3:$O$3)/SUMPRODUCT(--(K10:O10&lt;&gt;""),$K$3:$O$3)*20,0))</f>
        <v/>
      </c>
      <c r="Q10" s="22" t="n"/>
      <c r="R10" s="22" t="n"/>
    </row>
    <row r="11">
      <c r="A11" s="22" t="n"/>
      <c r="B11" s="23">
        <f>IF(A11="","",IFERROR(INDEX('Datos salones'!$A:$A,MATCH(A11,'Datos salones'!$B:$B,0)),"no está en Lalan"))</f>
        <v/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4">
        <f>IF(COUNT(K11:O11)=0,"",ROUND(SUMPRODUCT(K11:O11,$K$3:$O$3)/SUMPRODUCT(--(K11:O11&lt;&gt;""),$K$3:$O$3)*20,0))</f>
        <v/>
      </c>
      <c r="Q11" s="22" t="n"/>
      <c r="R11" s="22" t="n"/>
    </row>
    <row r="12">
      <c r="A12" s="22" t="n"/>
      <c r="B12" s="23">
        <f>IF(A12="","",IFERROR(INDEX('Datos salones'!$A:$A,MATCH(A12,'Datos salones'!$B:$B,0)),"no está en Lalan"))</f>
        <v/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4">
        <f>IF(COUNT(K12:O12)=0,"",ROUND(SUMPRODUCT(K12:O12,$K$3:$O$3)/SUMPRODUCT(--(K12:O12&lt;&gt;""),$K$3:$O$3)*20,0))</f>
        <v/>
      </c>
      <c r="Q12" s="22" t="n"/>
      <c r="R12" s="22" t="n"/>
    </row>
    <row r="13">
      <c r="A13" s="22" t="n"/>
      <c r="B13" s="23">
        <f>IF(A13="","",IFERROR(INDEX('Datos salones'!$A:$A,MATCH(A13,'Datos salones'!$B:$B,0)),"no está en Lalan"))</f>
        <v/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4">
        <f>IF(COUNT(K13:O13)=0,"",ROUND(SUMPRODUCT(K13:O13,$K$3:$O$3)/SUMPRODUCT(--(K13:O13&lt;&gt;""),$K$3:$O$3)*20,0))</f>
        <v/>
      </c>
      <c r="Q13" s="22" t="n"/>
      <c r="R13" s="22" t="n"/>
    </row>
    <row r="14">
      <c r="A14" s="22" t="n"/>
      <c r="B14" s="23">
        <f>IF(A14="","",IFERROR(INDEX('Datos salones'!$A:$A,MATCH(A14,'Datos salones'!$B:$B,0)),"no está en Lalan"))</f>
        <v/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4">
        <f>IF(COUNT(K14:O14)=0,"",ROUND(SUMPRODUCT(K14:O14,$K$3:$O$3)/SUMPRODUCT(--(K14:O14&lt;&gt;""),$K$3:$O$3)*20,0))</f>
        <v/>
      </c>
      <c r="Q14" s="22" t="n"/>
      <c r="R14" s="22" t="n"/>
    </row>
    <row r="15">
      <c r="A15" s="22" t="n"/>
      <c r="B15" s="23">
        <f>IF(A15="","",IFERROR(INDEX('Datos salones'!$A:$A,MATCH(A15,'Datos salones'!$B:$B,0)),"no está en Lalan"))</f>
        <v/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4">
        <f>IF(COUNT(K15:O15)=0,"",ROUND(SUMPRODUCT(K15:O15,$K$3:$O$3)/SUMPRODUCT(--(K15:O15&lt;&gt;""),$K$3:$O$3)*20,0))</f>
        <v/>
      </c>
      <c r="Q15" s="22" t="n"/>
      <c r="R15" s="22" t="n"/>
    </row>
    <row r="16">
      <c r="A16" s="22" t="n"/>
      <c r="B16" s="23">
        <f>IF(A16="","",IFERROR(INDEX('Datos salones'!$A:$A,MATCH(A16,'Datos salones'!$B:$B,0)),"no está en Lalan"))</f>
        <v/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4">
        <f>IF(COUNT(K16:O16)=0,"",ROUND(SUMPRODUCT(K16:O16,$K$3:$O$3)/SUMPRODUCT(--(K16:O16&lt;&gt;""),$K$3:$O$3)*20,0))</f>
        <v/>
      </c>
      <c r="Q16" s="22" t="n"/>
      <c r="R16" s="22" t="n"/>
    </row>
    <row r="17">
      <c r="A17" s="22" t="n"/>
      <c r="B17" s="23">
        <f>IF(A17="","",IFERROR(INDEX('Datos salones'!$A:$A,MATCH(A17,'Datos salones'!$B:$B,0)),"no está en Lalan"))</f>
        <v/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4">
        <f>IF(COUNT(K17:O17)=0,"",ROUND(SUMPRODUCT(K17:O17,$K$3:$O$3)/SUMPRODUCT(--(K17:O17&lt;&gt;""),$K$3:$O$3)*20,0))</f>
        <v/>
      </c>
      <c r="Q17" s="22" t="n"/>
      <c r="R17" s="22" t="n"/>
    </row>
  </sheetData>
  <conditionalFormatting sqref="P6:P17">
    <cfRule type="dataBar" priority="1">
      <dataBar>
        <cfvo type="num" val="0"/>
        <cfvo type="num" val="100"/>
        <color rgb="00C46B7C"/>
      </dataBar>
    </cfRule>
  </conditionalFormatting>
  <dataValidations count="4">
    <dataValidation sqref="E6:E17" showDropDown="0" showInputMessage="0" showErrorMessage="0" allowBlank="1" errorTitle="Elige de la lista" error="Usa una de las opciones de la lista." type="list">
      <formula1>"Uñas,Peluquería,Barbería,Multiservicio,Estética,Spa,Otro"</formula1>
    </dataValidation>
    <dataValidation sqref="J6:J17" showDropDown="0" showInputMessage="0" showErrorMessage="0" allowBlank="1" errorTitle="Elige de la lista" error="Usa una de las opciones de la lista." type="list">
      <formula1>"Libreta,WhatsApp,Excel,Otra app,No agenda"</formula1>
    </dataValidation>
    <dataValidation sqref="Q6:Q17" showDropDown="0" showInputMessage="0" showErrorMessage="0" allowBlank="1" errorTitle="Elige de la lista" error="Usa una de las opciones de la lista." type="list">
      <formula1>"Sí,No,En espera"</formula1>
    </dataValidation>
    <dataValidation sqref="K6:O17" showDropDown="0" showInputMessage="0" showErrorMessage="0" allowBlank="1" errorTitle="Puntaje" error="Pon un número entero del 1 al 5.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13" customWidth="1" min="5" max="5"/>
    <col width="14" customWidth="1" min="6" max="6"/>
    <col width="11" customWidth="1" min="7" max="7"/>
    <col width="12" customWidth="1" min="8" max="8"/>
    <col width="15" customWidth="1" min="9" max="9"/>
    <col width="14" customWidth="1" min="10" max="10"/>
    <col width="14" customWidth="1" min="11" max="11"/>
    <col width="36" customWidth="1" min="12" max="12"/>
    <col width="36" customWidth="1" min="13" max="13"/>
  </cols>
  <sheetData>
    <row r="1" ht="30" customHeight="1">
      <c r="A1" s="1" t="inlineStr">
        <is>
          <t>Línea base (día 0)</t>
        </is>
      </c>
    </row>
    <row r="2">
      <c r="A2" s="2" t="inlineStr">
        <is>
          <t>Antes de instalar Lalan: cómo trabaja hoy cada salón. Es contra lo que se compara al final.</t>
        </is>
      </c>
    </row>
    <row r="4" ht="48" customHeight="1">
      <c r="A4" s="18" t="inlineStr">
        <is>
          <t>Salón</t>
        </is>
      </c>
      <c r="B4" s="19" t="inlineStr">
        <is>
          <t>ID en Lalan</t>
        </is>
      </c>
      <c r="C4" s="18" t="inlineStr">
        <is>
          <t>Fecha</t>
        </is>
      </c>
      <c r="D4" s="18" t="inlineStr">
        <is>
          <t>Horas a la semana respondiendo WhatsApp</t>
        </is>
      </c>
      <c r="E4" s="18" t="inlineStr">
        <is>
          <t>Mensajes de clientas al día</t>
        </is>
      </c>
      <c r="F4" s="18" t="inlineStr">
        <is>
          <t>Minutos que tarda en responder (típico)</t>
        </is>
      </c>
      <c r="G4" s="18" t="inlineStr">
        <is>
          <t>Citas por semana</t>
        </is>
      </c>
      <c r="H4" s="18" t="inlineStr">
        <is>
          <t>Clientas que faltan por semana</t>
        </is>
      </c>
      <c r="I4" s="18" t="inlineStr">
        <is>
          <t>Clientas que se pierden por no contestar a tiempo (semana)</t>
        </is>
      </c>
      <c r="J4" s="18" t="inlineStr">
        <is>
          <t>Cómo agenda hoy</t>
        </is>
      </c>
      <c r="K4" s="18" t="inlineStr">
        <is>
          <t>Satisfacción con su forma actual (1-5)</t>
        </is>
      </c>
      <c r="L4" s="18" t="inlineStr">
        <is>
          <t>Lo que más tiempo le quita</t>
        </is>
      </c>
      <c r="M4" s="18" t="inlineStr">
        <is>
          <t>Qué espera de Lalan</t>
        </is>
      </c>
    </row>
    <row r="5">
      <c r="A5" s="20" t="inlineStr">
        <is>
          <t>Salón Ejemplo</t>
        </is>
      </c>
      <c r="B5" s="20">
        <f>IF(A5="","",IFERROR(INDEX(Perfil!$B$6:$B$17,MATCH(A5,Perfil!$A$6:$A$17,0)),""))</f>
        <v/>
      </c>
      <c r="C5" s="25" t="n">
        <v>46296</v>
      </c>
      <c r="D5" s="20" t="n">
        <v>10</v>
      </c>
      <c r="E5" s="20" t="n">
        <v>40</v>
      </c>
      <c r="F5" s="20" t="n">
        <v>45</v>
      </c>
      <c r="G5" s="20" t="n">
        <v>60</v>
      </c>
      <c r="H5" s="20" t="n">
        <v>6</v>
      </c>
      <c r="I5" s="20" t="n">
        <v>3</v>
      </c>
      <c r="J5" s="20" t="inlineStr">
        <is>
          <t>WhatsApp</t>
        </is>
      </c>
      <c r="K5" s="20" t="n">
        <v>2</v>
      </c>
      <c r="L5" s="20" t="inlineStr">
        <is>
          <t>Contestar precios por WhatsApp</t>
        </is>
      </c>
      <c r="M5" s="20" t="inlineStr">
        <is>
          <t>Que conteste de noche y agende sola</t>
        </is>
      </c>
    </row>
    <row r="6">
      <c r="A6" s="22" t="n"/>
      <c r="B6" s="23">
        <f>IF(A6="","",IFERROR(INDEX(Perfil!$B$6:$B$17,MATCH(A6,Perfil!$A$6:$A$17,0)),""))</f>
        <v/>
      </c>
      <c r="C6" s="26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</row>
    <row r="7">
      <c r="A7" s="22" t="n"/>
      <c r="B7" s="23">
        <f>IF(A7="","",IFERROR(INDEX(Perfil!$B$6:$B$17,MATCH(A7,Perfil!$A$6:$A$17,0)),""))</f>
        <v/>
      </c>
      <c r="C7" s="26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</row>
    <row r="8">
      <c r="A8" s="22" t="n"/>
      <c r="B8" s="23">
        <f>IF(A8="","",IFERROR(INDEX(Perfil!$B$6:$B$17,MATCH(A8,Perfil!$A$6:$A$17,0)),""))</f>
        <v/>
      </c>
      <c r="C8" s="26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</row>
    <row r="9">
      <c r="A9" s="22" t="n"/>
      <c r="B9" s="23">
        <f>IF(A9="","",IFERROR(INDEX(Perfil!$B$6:$B$17,MATCH(A9,Perfil!$A$6:$A$17,0)),""))</f>
        <v/>
      </c>
      <c r="C9" s="26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</row>
    <row r="10">
      <c r="A10" s="22" t="n"/>
      <c r="B10" s="23">
        <f>IF(A10="","",IFERROR(INDEX(Perfil!$B$6:$B$17,MATCH(A10,Perfil!$A$6:$A$17,0)),""))</f>
        <v/>
      </c>
      <c r="C10" s="26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</row>
    <row r="11">
      <c r="A11" s="22" t="n"/>
      <c r="B11" s="23">
        <f>IF(A11="","",IFERROR(INDEX(Perfil!$B$6:$B$17,MATCH(A11,Perfil!$A$6:$A$17,0)),""))</f>
        <v/>
      </c>
      <c r="C11" s="26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</row>
    <row r="12">
      <c r="A12" s="22" t="n"/>
      <c r="B12" s="23">
        <f>IF(A12="","",IFERROR(INDEX(Perfil!$B$6:$B$17,MATCH(A12,Perfil!$A$6:$A$17,0)),""))</f>
        <v/>
      </c>
      <c r="C12" s="26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</row>
    <row r="13">
      <c r="A13" s="22" t="n"/>
      <c r="B13" s="23">
        <f>IF(A13="","",IFERROR(INDEX(Perfil!$B$6:$B$17,MATCH(A13,Perfil!$A$6:$A$17,0)),""))</f>
        <v/>
      </c>
      <c r="C13" s="26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</row>
    <row r="14">
      <c r="A14" s="22" t="n"/>
      <c r="B14" s="23">
        <f>IF(A14="","",IFERROR(INDEX(Perfil!$B$6:$B$17,MATCH(A14,Perfil!$A$6:$A$17,0)),""))</f>
        <v/>
      </c>
      <c r="C14" s="26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</row>
    <row r="15">
      <c r="A15" s="22" t="n"/>
      <c r="B15" s="23">
        <f>IF(A15="","",IFERROR(INDEX(Perfil!$B$6:$B$17,MATCH(A15,Perfil!$A$6:$A$17,0)),""))</f>
        <v/>
      </c>
      <c r="C15" s="26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</row>
    <row r="16">
      <c r="A16" s="22" t="n"/>
      <c r="B16" s="23">
        <f>IF(A16="","",IFERROR(INDEX(Perfil!$B$6:$B$17,MATCH(A16,Perfil!$A$6:$A$17,0)),""))</f>
        <v/>
      </c>
      <c r="C16" s="26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</row>
    <row r="17">
      <c r="A17" s="22" t="n"/>
      <c r="B17" s="23">
        <f>IF(A17="","",IFERROR(INDEX(Perfil!$B$6:$B$17,MATCH(A17,Perfil!$A$6:$A$17,0)),""))</f>
        <v/>
      </c>
      <c r="C17" s="26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</row>
  </sheetData>
  <dataValidations count="3">
    <dataValidation sqref="A6:A17" showDropDown="0" showInputMessage="0" showErrorMessage="0" allowBlank="1" errorTitle="Salón" error="Escribe el salón tal como está en la hoja Perfil." type="list">
      <formula1>Perfil!$A$6:$A$17</formula1>
    </dataValidation>
    <dataValidation sqref="J6:J17" showDropDown="0" showInputMessage="0" showErrorMessage="0" allowBlank="1" errorTitle="Elige de la lista" error="Usa una de las opciones de la lista." type="list">
      <formula1>"Libreta,WhatsApp,Excel,Otra app,No agenda"</formula1>
    </dataValidation>
    <dataValidation sqref="K6:K17" showDropDown="0" showInputMessage="0" showErrorMessage="0" allowBlank="1" errorTitle="Puntaje" error="Pon un número entero del 1 al 5.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30" customWidth="1" min="14" max="14"/>
    <col width="30" customWidth="1" min="15" max="15"/>
    <col width="30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 ht="30" customHeight="1">
      <c r="A1" s="1" t="inlineStr">
        <is>
          <t>Revisión semanal (15 minutos por salón)</t>
        </is>
      </c>
    </row>
    <row r="2">
      <c r="A2" s="2" t="inlineStr">
        <is>
          <t>Nota del 1 al 5 por módulo (vacío si no lo usó). Las columnas grises traen solas los números de esa semana.</t>
        </is>
      </c>
    </row>
    <row r="4" ht="48" customHeight="1">
      <c r="A4" s="18" t="inlineStr">
        <is>
          <t>Semana (cualquier día)</t>
        </is>
      </c>
      <c r="B4" s="18" t="inlineStr">
        <is>
          <t>Salón</t>
        </is>
      </c>
      <c r="C4" s="19" t="inlineStr">
        <is>
          <t>ID en Lalan</t>
        </is>
      </c>
      <c r="D4" s="18" t="inlineStr">
        <is>
          <t>Chats</t>
        </is>
      </c>
      <c r="E4" s="18" t="inlineStr">
        <is>
          <t>Agenda</t>
        </is>
      </c>
      <c r="F4" s="18" t="inlineStr">
        <is>
          <t>Pantalla de Lalan</t>
        </is>
      </c>
      <c r="G4" s="18" t="inlineStr">
        <is>
          <t>Informes</t>
        </is>
      </c>
      <c r="H4" s="18" t="inlineStr">
        <is>
          <t>Caja</t>
        </is>
      </c>
      <c r="I4" s="18" t="inlineStr">
        <is>
          <t>Inventario</t>
        </is>
      </c>
      <c r="J4" s="18" t="inlineStr">
        <is>
          <t>Sala</t>
        </is>
      </c>
      <c r="K4" s="18" t="inlineStr">
        <is>
          <t>Lounge</t>
        </is>
      </c>
      <c r="L4" s="19" t="inlineStr">
        <is>
          <t>Nota promedio</t>
        </is>
      </c>
      <c r="M4" s="18" t="inlineStr">
        <is>
          <t>Horas que ahorró esta semana</t>
        </is>
      </c>
      <c r="N4" s="18" t="inlineStr">
        <is>
          <t>Lo que mejor funcionó</t>
        </is>
      </c>
      <c r="O4" s="18" t="inlineStr">
        <is>
          <t>Lo que falló o molestó</t>
        </is>
      </c>
      <c r="P4" s="18" t="inlineStr">
        <is>
          <t>Lo que pidió</t>
        </is>
      </c>
      <c r="Q4" s="19" t="inlineStr">
        <is>
          <t>Mensajes de clientas</t>
        </is>
      </c>
      <c r="R4" s="19" t="inlineStr">
        <is>
          <t>% que respondió Lalan</t>
        </is>
      </c>
      <c r="S4" s="19" t="inlineStr">
        <is>
          <t>Pases a persona</t>
        </is>
      </c>
      <c r="T4" s="19" t="inlineStr">
        <is>
          <t>Citas que agendó Lalan</t>
        </is>
      </c>
      <c r="U4" s="19" t="inlineStr">
        <is>
          <t>Minutos en la app</t>
        </is>
      </c>
      <c r="V4" s="19" t="inlineStr">
        <is>
          <t>Espera mediana del equipo (min)</t>
        </is>
      </c>
    </row>
    <row r="5">
      <c r="A5" s="25" t="n">
        <v>46300</v>
      </c>
      <c r="B5" s="20" t="inlineStr">
        <is>
          <t>Salón Ejemplo</t>
        </is>
      </c>
      <c r="C5" s="20">
        <f>IF(B5="","",IFERROR(INDEX(Perfil!$B$6:$B$17,MATCH(B5,Perfil!$A$6:$A$17,0)),""))</f>
        <v/>
      </c>
      <c r="D5" s="20" t="n">
        <v>4</v>
      </c>
      <c r="E5" s="20" t="n">
        <v>5</v>
      </c>
      <c r="F5" s="20" t="n">
        <v>3</v>
      </c>
      <c r="G5" s="20" t="n">
        <v>4</v>
      </c>
      <c r="L5" s="27">
        <f>IF(COUNT(D5:K5)=0,"",AVERAGE(D5:K5))</f>
        <v/>
      </c>
      <c r="M5" s="20" t="n">
        <v>2</v>
      </c>
      <c r="N5" s="20" t="inlineStr">
        <is>
          <t>Lalan contestó de noche</t>
        </is>
      </c>
      <c r="O5" s="20" t="inlineStr">
        <is>
          <t>Dio un precio viejo</t>
        </is>
      </c>
      <c r="P5" s="20" t="inlineStr">
        <is>
          <t>Avisar cuando una clienta cancela</t>
        </is>
      </c>
      <c r="Q5" s="28">
        <f>IF(OR($A5="",$C5=""),"",SUMIFS('Datos diario'!$E:$E,'Datos diario'!$C:$C,$C5,'Datos diario'!$B:$B,$A5-WEEKDAY($A5,3)))</f>
        <v/>
      </c>
      <c r="R5" s="29">
        <f>IF(OR($A5="",$C5=""),"",IFERROR(SUMIFS('Datos diario'!$F:$F,'Datos diario'!$C:$C,$C5,'Datos diario'!$B:$B,$A5-WEEKDAY($A5,3))/(SUMIFS('Datos diario'!$F:$F,'Datos diario'!$C:$C,$C5,'Datos diario'!$B:$B,$A5-WEEKDAY($A5,3))+SUMIFS('Datos diario'!$G:$G,'Datos diario'!$C:$C,$C5,'Datos diario'!$B:$B,$A5-WEEKDAY($A5,3))),""))</f>
        <v/>
      </c>
      <c r="S5" s="28">
        <f>IF(OR($A5="",$C5=""),"",SUMIFS('Datos diario'!$I:$I,'Datos diario'!$C:$C,$C5,'Datos diario'!$B:$B,$A5-WEEKDAY($A5,3)))</f>
        <v/>
      </c>
      <c r="T5" s="28">
        <f>IF(OR($A5="",$C5=""),"",SUMIFS('Datos diario'!$P:$P,'Datos diario'!$C:$C,$C5,'Datos diario'!$B:$B,$A5-WEEKDAY($A5,3)))</f>
        <v/>
      </c>
      <c r="U5" s="28">
        <f>IF(OR($A5="",$C5=""),"",ROUND(SUMIFS('Datos diario'!$U:$U,'Datos diario'!$C:$C,$C5,'Datos diario'!$B:$B,$A5-WEEKDAY($A5,3)),0))</f>
        <v/>
      </c>
      <c r="V5" s="27">
        <f>IF(OR($A5="",$C5=""),"",IFERROR(ROUND(AVERAGEIFS('Datos diario'!$M:$M,'Datos diario'!$C:$C,$C5,'Datos diario'!$B:$B,$A5-WEEKDAY($A5,3),'Datos diario'!$L:$L,"&gt;0"),1),""))</f>
        <v/>
      </c>
    </row>
    <row r="6">
      <c r="A6" s="26" t="n"/>
      <c r="B6" s="22" t="n"/>
      <c r="C6" s="23">
        <f>IF(B6="","",IFERROR(INDEX(Perfil!$B$6:$B$17,MATCH(B6,Perfil!$A$6:$A$17,0)),""))</f>
        <v/>
      </c>
      <c r="D6" s="22" t="n"/>
      <c r="E6" s="22" t="n"/>
      <c r="F6" s="22" t="n"/>
      <c r="G6" s="22" t="n"/>
      <c r="H6" s="22" t="n"/>
      <c r="I6" s="22" t="n"/>
      <c r="J6" s="22" t="n"/>
      <c r="K6" s="22" t="n"/>
      <c r="L6" s="30">
        <f>IF(COUNT(D6:K6)=0,"",AVERAGE(D6:K6))</f>
        <v/>
      </c>
      <c r="M6" s="22" t="n"/>
      <c r="N6" s="22" t="n"/>
      <c r="O6" s="22" t="n"/>
      <c r="P6" s="22" t="n"/>
      <c r="Q6" s="31">
        <f>IF(OR($A6="",$C6=""),"",SUMIFS('Datos diario'!$E:$E,'Datos diario'!$C:$C,$C6,'Datos diario'!$B:$B,$A6-WEEKDAY($A6,3)))</f>
        <v/>
      </c>
      <c r="R6" s="32">
        <f>IF(OR($A6="",$C6=""),"",IFERROR(SUMIFS('Datos diario'!$F:$F,'Datos diario'!$C:$C,$C6,'Datos diario'!$B:$B,$A6-WEEKDAY($A6,3))/(SUMIFS('Datos diario'!$F:$F,'Datos diario'!$C:$C,$C6,'Datos diario'!$B:$B,$A6-WEEKDAY($A6,3))+SUMIFS('Datos diario'!$G:$G,'Datos diario'!$C:$C,$C6,'Datos diario'!$B:$B,$A6-WEEKDAY($A6,3))),""))</f>
        <v/>
      </c>
      <c r="S6" s="31">
        <f>IF(OR($A6="",$C6=""),"",SUMIFS('Datos diario'!$I:$I,'Datos diario'!$C:$C,$C6,'Datos diario'!$B:$B,$A6-WEEKDAY($A6,3)))</f>
        <v/>
      </c>
      <c r="T6" s="31">
        <f>IF(OR($A6="",$C6=""),"",SUMIFS('Datos diario'!$P:$P,'Datos diario'!$C:$C,$C6,'Datos diario'!$B:$B,$A6-WEEKDAY($A6,3)))</f>
        <v/>
      </c>
      <c r="U6" s="31">
        <f>IF(OR($A6="",$C6=""),"",ROUND(SUMIFS('Datos diario'!$U:$U,'Datos diario'!$C:$C,$C6,'Datos diario'!$B:$B,$A6-WEEKDAY($A6,3)),0))</f>
        <v/>
      </c>
      <c r="V6" s="30">
        <f>IF(OR($A6="",$C6=""),"",IFERROR(ROUND(AVERAGEIFS('Datos diario'!$M:$M,'Datos diario'!$C:$C,$C6,'Datos diario'!$B:$B,$A6-WEEKDAY($A6,3),'Datos diario'!$L:$L,"&gt;0"),1),""))</f>
        <v/>
      </c>
    </row>
    <row r="7">
      <c r="A7" s="26" t="n"/>
      <c r="B7" s="22" t="n"/>
      <c r="C7" s="23">
        <f>IF(B7="","",IFERROR(INDEX(Perfil!$B$6:$B$17,MATCH(B7,Perfil!$A$6:$A$17,0)),""))</f>
        <v/>
      </c>
      <c r="D7" s="22" t="n"/>
      <c r="E7" s="22" t="n"/>
      <c r="F7" s="22" t="n"/>
      <c r="G7" s="22" t="n"/>
      <c r="H7" s="22" t="n"/>
      <c r="I7" s="22" t="n"/>
      <c r="J7" s="22" t="n"/>
      <c r="K7" s="22" t="n"/>
      <c r="L7" s="30">
        <f>IF(COUNT(D7:K7)=0,"",AVERAGE(D7:K7))</f>
        <v/>
      </c>
      <c r="M7" s="22" t="n"/>
      <c r="N7" s="22" t="n"/>
      <c r="O7" s="22" t="n"/>
      <c r="P7" s="22" t="n"/>
      <c r="Q7" s="31">
        <f>IF(OR($A7="",$C7=""),"",SUMIFS('Datos diario'!$E:$E,'Datos diario'!$C:$C,$C7,'Datos diario'!$B:$B,$A7-WEEKDAY($A7,3)))</f>
        <v/>
      </c>
      <c r="R7" s="32">
        <f>IF(OR($A7="",$C7=""),"",IFERROR(SUMIFS('Datos diario'!$F:$F,'Datos diario'!$C:$C,$C7,'Datos diario'!$B:$B,$A7-WEEKDAY($A7,3))/(SUMIFS('Datos diario'!$F:$F,'Datos diario'!$C:$C,$C7,'Datos diario'!$B:$B,$A7-WEEKDAY($A7,3))+SUMIFS('Datos diario'!$G:$G,'Datos diario'!$C:$C,$C7,'Datos diario'!$B:$B,$A7-WEEKDAY($A7,3))),""))</f>
        <v/>
      </c>
      <c r="S7" s="31">
        <f>IF(OR($A7="",$C7=""),"",SUMIFS('Datos diario'!$I:$I,'Datos diario'!$C:$C,$C7,'Datos diario'!$B:$B,$A7-WEEKDAY($A7,3)))</f>
        <v/>
      </c>
      <c r="T7" s="31">
        <f>IF(OR($A7="",$C7=""),"",SUMIFS('Datos diario'!$P:$P,'Datos diario'!$C:$C,$C7,'Datos diario'!$B:$B,$A7-WEEKDAY($A7,3)))</f>
        <v/>
      </c>
      <c r="U7" s="31">
        <f>IF(OR($A7="",$C7=""),"",ROUND(SUMIFS('Datos diario'!$U:$U,'Datos diario'!$C:$C,$C7,'Datos diario'!$B:$B,$A7-WEEKDAY($A7,3)),0))</f>
        <v/>
      </c>
      <c r="V7" s="30">
        <f>IF(OR($A7="",$C7=""),"",IFERROR(ROUND(AVERAGEIFS('Datos diario'!$M:$M,'Datos diario'!$C:$C,$C7,'Datos diario'!$B:$B,$A7-WEEKDAY($A7,3),'Datos diario'!$L:$L,"&gt;0"),1),""))</f>
        <v/>
      </c>
    </row>
    <row r="8">
      <c r="A8" s="26" t="n"/>
      <c r="B8" s="22" t="n"/>
      <c r="C8" s="23">
        <f>IF(B8="","",IFERROR(INDEX(Perfil!$B$6:$B$17,MATCH(B8,Perfil!$A$6:$A$17,0)),""))</f>
        <v/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30">
        <f>IF(COUNT(D8:K8)=0,"",AVERAGE(D8:K8))</f>
        <v/>
      </c>
      <c r="M8" s="22" t="n"/>
      <c r="N8" s="22" t="n"/>
      <c r="O8" s="22" t="n"/>
      <c r="P8" s="22" t="n"/>
      <c r="Q8" s="31">
        <f>IF(OR($A8="",$C8=""),"",SUMIFS('Datos diario'!$E:$E,'Datos diario'!$C:$C,$C8,'Datos diario'!$B:$B,$A8-WEEKDAY($A8,3)))</f>
        <v/>
      </c>
      <c r="R8" s="32">
        <f>IF(OR($A8="",$C8=""),"",IFERROR(SUMIFS('Datos diario'!$F:$F,'Datos diario'!$C:$C,$C8,'Datos diario'!$B:$B,$A8-WEEKDAY($A8,3))/(SUMIFS('Datos diario'!$F:$F,'Datos diario'!$C:$C,$C8,'Datos diario'!$B:$B,$A8-WEEKDAY($A8,3))+SUMIFS('Datos diario'!$G:$G,'Datos diario'!$C:$C,$C8,'Datos diario'!$B:$B,$A8-WEEKDAY($A8,3))),""))</f>
        <v/>
      </c>
      <c r="S8" s="31">
        <f>IF(OR($A8="",$C8=""),"",SUMIFS('Datos diario'!$I:$I,'Datos diario'!$C:$C,$C8,'Datos diario'!$B:$B,$A8-WEEKDAY($A8,3)))</f>
        <v/>
      </c>
      <c r="T8" s="31">
        <f>IF(OR($A8="",$C8=""),"",SUMIFS('Datos diario'!$P:$P,'Datos diario'!$C:$C,$C8,'Datos diario'!$B:$B,$A8-WEEKDAY($A8,3)))</f>
        <v/>
      </c>
      <c r="U8" s="31">
        <f>IF(OR($A8="",$C8=""),"",ROUND(SUMIFS('Datos diario'!$U:$U,'Datos diario'!$C:$C,$C8,'Datos diario'!$B:$B,$A8-WEEKDAY($A8,3)),0))</f>
        <v/>
      </c>
      <c r="V8" s="30">
        <f>IF(OR($A8="",$C8=""),"",IFERROR(ROUND(AVERAGEIFS('Datos diario'!$M:$M,'Datos diario'!$C:$C,$C8,'Datos diario'!$B:$B,$A8-WEEKDAY($A8,3),'Datos diario'!$L:$L,"&gt;0"),1),""))</f>
        <v/>
      </c>
    </row>
    <row r="9">
      <c r="A9" s="26" t="n"/>
      <c r="B9" s="22" t="n"/>
      <c r="C9" s="23">
        <f>IF(B9="","",IFERROR(INDEX(Perfil!$B$6:$B$17,MATCH(B9,Perfil!$A$6:$A$17,0)),""))</f>
        <v/>
      </c>
      <c r="D9" s="22" t="n"/>
      <c r="E9" s="22" t="n"/>
      <c r="F9" s="22" t="n"/>
      <c r="G9" s="22" t="n"/>
      <c r="H9" s="22" t="n"/>
      <c r="I9" s="22" t="n"/>
      <c r="J9" s="22" t="n"/>
      <c r="K9" s="22" t="n"/>
      <c r="L9" s="30">
        <f>IF(COUNT(D9:K9)=0,"",AVERAGE(D9:K9))</f>
        <v/>
      </c>
      <c r="M9" s="22" t="n"/>
      <c r="N9" s="22" t="n"/>
      <c r="O9" s="22" t="n"/>
      <c r="P9" s="22" t="n"/>
      <c r="Q9" s="31">
        <f>IF(OR($A9="",$C9=""),"",SUMIFS('Datos diario'!$E:$E,'Datos diario'!$C:$C,$C9,'Datos diario'!$B:$B,$A9-WEEKDAY($A9,3)))</f>
        <v/>
      </c>
      <c r="R9" s="32">
        <f>IF(OR($A9="",$C9=""),"",IFERROR(SUMIFS('Datos diario'!$F:$F,'Datos diario'!$C:$C,$C9,'Datos diario'!$B:$B,$A9-WEEKDAY($A9,3))/(SUMIFS('Datos diario'!$F:$F,'Datos diario'!$C:$C,$C9,'Datos diario'!$B:$B,$A9-WEEKDAY($A9,3))+SUMIFS('Datos diario'!$G:$G,'Datos diario'!$C:$C,$C9,'Datos diario'!$B:$B,$A9-WEEKDAY($A9,3))),""))</f>
        <v/>
      </c>
      <c r="S9" s="31">
        <f>IF(OR($A9="",$C9=""),"",SUMIFS('Datos diario'!$I:$I,'Datos diario'!$C:$C,$C9,'Datos diario'!$B:$B,$A9-WEEKDAY($A9,3)))</f>
        <v/>
      </c>
      <c r="T9" s="31">
        <f>IF(OR($A9="",$C9=""),"",SUMIFS('Datos diario'!$P:$P,'Datos diario'!$C:$C,$C9,'Datos diario'!$B:$B,$A9-WEEKDAY($A9,3)))</f>
        <v/>
      </c>
      <c r="U9" s="31">
        <f>IF(OR($A9="",$C9=""),"",ROUND(SUMIFS('Datos diario'!$U:$U,'Datos diario'!$C:$C,$C9,'Datos diario'!$B:$B,$A9-WEEKDAY($A9,3)),0))</f>
        <v/>
      </c>
      <c r="V9" s="30">
        <f>IF(OR($A9="",$C9=""),"",IFERROR(ROUND(AVERAGEIFS('Datos diario'!$M:$M,'Datos diario'!$C:$C,$C9,'Datos diario'!$B:$B,$A9-WEEKDAY($A9,3),'Datos diario'!$L:$L,"&gt;0"),1),""))</f>
        <v/>
      </c>
    </row>
    <row r="10">
      <c r="A10" s="26" t="n"/>
      <c r="B10" s="22" t="n"/>
      <c r="C10" s="23">
        <f>IF(B10="","",IFERROR(INDEX(Perfil!$B$6:$B$17,MATCH(B10,Perfil!$A$6:$A$17,0)),""))</f>
        <v/>
      </c>
      <c r="D10" s="22" t="n"/>
      <c r="E10" s="22" t="n"/>
      <c r="F10" s="22" t="n"/>
      <c r="G10" s="22" t="n"/>
      <c r="H10" s="22" t="n"/>
      <c r="I10" s="22" t="n"/>
      <c r="J10" s="22" t="n"/>
      <c r="K10" s="22" t="n"/>
      <c r="L10" s="30">
        <f>IF(COUNT(D10:K10)=0,"",AVERAGE(D10:K10))</f>
        <v/>
      </c>
      <c r="M10" s="22" t="n"/>
      <c r="N10" s="22" t="n"/>
      <c r="O10" s="22" t="n"/>
      <c r="P10" s="22" t="n"/>
      <c r="Q10" s="31">
        <f>IF(OR($A10="",$C10=""),"",SUMIFS('Datos diario'!$E:$E,'Datos diario'!$C:$C,$C10,'Datos diario'!$B:$B,$A10-WEEKDAY($A10,3)))</f>
        <v/>
      </c>
      <c r="R10" s="32">
        <f>IF(OR($A10="",$C10=""),"",IFERROR(SUMIFS('Datos diario'!$F:$F,'Datos diario'!$C:$C,$C10,'Datos diario'!$B:$B,$A10-WEEKDAY($A10,3))/(SUMIFS('Datos diario'!$F:$F,'Datos diario'!$C:$C,$C10,'Datos diario'!$B:$B,$A10-WEEKDAY($A10,3))+SUMIFS('Datos diario'!$G:$G,'Datos diario'!$C:$C,$C10,'Datos diario'!$B:$B,$A10-WEEKDAY($A10,3))),""))</f>
        <v/>
      </c>
      <c r="S10" s="31">
        <f>IF(OR($A10="",$C10=""),"",SUMIFS('Datos diario'!$I:$I,'Datos diario'!$C:$C,$C10,'Datos diario'!$B:$B,$A10-WEEKDAY($A10,3)))</f>
        <v/>
      </c>
      <c r="T10" s="31">
        <f>IF(OR($A10="",$C10=""),"",SUMIFS('Datos diario'!$P:$P,'Datos diario'!$C:$C,$C10,'Datos diario'!$B:$B,$A10-WEEKDAY($A10,3)))</f>
        <v/>
      </c>
      <c r="U10" s="31">
        <f>IF(OR($A10="",$C10=""),"",ROUND(SUMIFS('Datos diario'!$U:$U,'Datos diario'!$C:$C,$C10,'Datos diario'!$B:$B,$A10-WEEKDAY($A10,3)),0))</f>
        <v/>
      </c>
      <c r="V10" s="30">
        <f>IF(OR($A10="",$C10=""),"",IFERROR(ROUND(AVERAGEIFS('Datos diario'!$M:$M,'Datos diario'!$C:$C,$C10,'Datos diario'!$B:$B,$A10-WEEKDAY($A10,3),'Datos diario'!$L:$L,"&gt;0"),1),""))</f>
        <v/>
      </c>
    </row>
    <row r="11">
      <c r="A11" s="26" t="n"/>
      <c r="B11" s="22" t="n"/>
      <c r="C11" s="23">
        <f>IF(B11="","",IFERROR(INDEX(Perfil!$B$6:$B$17,MATCH(B11,Perfil!$A$6:$A$17,0)),""))</f>
        <v/>
      </c>
      <c r="D11" s="22" t="n"/>
      <c r="E11" s="22" t="n"/>
      <c r="F11" s="22" t="n"/>
      <c r="G11" s="22" t="n"/>
      <c r="H11" s="22" t="n"/>
      <c r="I11" s="22" t="n"/>
      <c r="J11" s="22" t="n"/>
      <c r="K11" s="22" t="n"/>
      <c r="L11" s="30">
        <f>IF(COUNT(D11:K11)=0,"",AVERAGE(D11:K11))</f>
        <v/>
      </c>
      <c r="M11" s="22" t="n"/>
      <c r="N11" s="22" t="n"/>
      <c r="O11" s="22" t="n"/>
      <c r="P11" s="22" t="n"/>
      <c r="Q11" s="31">
        <f>IF(OR($A11="",$C11=""),"",SUMIFS('Datos diario'!$E:$E,'Datos diario'!$C:$C,$C11,'Datos diario'!$B:$B,$A11-WEEKDAY($A11,3)))</f>
        <v/>
      </c>
      <c r="R11" s="32">
        <f>IF(OR($A11="",$C11=""),"",IFERROR(SUMIFS('Datos diario'!$F:$F,'Datos diario'!$C:$C,$C11,'Datos diario'!$B:$B,$A11-WEEKDAY($A11,3))/(SUMIFS('Datos diario'!$F:$F,'Datos diario'!$C:$C,$C11,'Datos diario'!$B:$B,$A11-WEEKDAY($A11,3))+SUMIFS('Datos diario'!$G:$G,'Datos diario'!$C:$C,$C11,'Datos diario'!$B:$B,$A11-WEEKDAY($A11,3))),""))</f>
        <v/>
      </c>
      <c r="S11" s="31">
        <f>IF(OR($A11="",$C11=""),"",SUMIFS('Datos diario'!$I:$I,'Datos diario'!$C:$C,$C11,'Datos diario'!$B:$B,$A11-WEEKDAY($A11,3)))</f>
        <v/>
      </c>
      <c r="T11" s="31">
        <f>IF(OR($A11="",$C11=""),"",SUMIFS('Datos diario'!$P:$P,'Datos diario'!$C:$C,$C11,'Datos diario'!$B:$B,$A11-WEEKDAY($A11,3)))</f>
        <v/>
      </c>
      <c r="U11" s="31">
        <f>IF(OR($A11="",$C11=""),"",ROUND(SUMIFS('Datos diario'!$U:$U,'Datos diario'!$C:$C,$C11,'Datos diario'!$B:$B,$A11-WEEKDAY($A11,3)),0))</f>
        <v/>
      </c>
      <c r="V11" s="30">
        <f>IF(OR($A11="",$C11=""),"",IFERROR(ROUND(AVERAGEIFS('Datos diario'!$M:$M,'Datos diario'!$C:$C,$C11,'Datos diario'!$B:$B,$A11-WEEKDAY($A11,3),'Datos diario'!$L:$L,"&gt;0"),1),""))</f>
        <v/>
      </c>
    </row>
    <row r="12">
      <c r="A12" s="26" t="n"/>
      <c r="B12" s="22" t="n"/>
      <c r="C12" s="23">
        <f>IF(B12="","",IFERROR(INDEX(Perfil!$B$6:$B$17,MATCH(B12,Perfil!$A$6:$A$17,0)),""))</f>
        <v/>
      </c>
      <c r="D12" s="22" t="n"/>
      <c r="E12" s="22" t="n"/>
      <c r="F12" s="22" t="n"/>
      <c r="G12" s="22" t="n"/>
      <c r="H12" s="22" t="n"/>
      <c r="I12" s="22" t="n"/>
      <c r="J12" s="22" t="n"/>
      <c r="K12" s="22" t="n"/>
      <c r="L12" s="30">
        <f>IF(COUNT(D12:K12)=0,"",AVERAGE(D12:K12))</f>
        <v/>
      </c>
      <c r="M12" s="22" t="n"/>
      <c r="N12" s="22" t="n"/>
      <c r="O12" s="22" t="n"/>
      <c r="P12" s="22" t="n"/>
      <c r="Q12" s="31">
        <f>IF(OR($A12="",$C12=""),"",SUMIFS('Datos diario'!$E:$E,'Datos diario'!$C:$C,$C12,'Datos diario'!$B:$B,$A12-WEEKDAY($A12,3)))</f>
        <v/>
      </c>
      <c r="R12" s="32">
        <f>IF(OR($A12="",$C12=""),"",IFERROR(SUMIFS('Datos diario'!$F:$F,'Datos diario'!$C:$C,$C12,'Datos diario'!$B:$B,$A12-WEEKDAY($A12,3))/(SUMIFS('Datos diario'!$F:$F,'Datos diario'!$C:$C,$C12,'Datos diario'!$B:$B,$A12-WEEKDAY($A12,3))+SUMIFS('Datos diario'!$G:$G,'Datos diario'!$C:$C,$C12,'Datos diario'!$B:$B,$A12-WEEKDAY($A12,3))),""))</f>
        <v/>
      </c>
      <c r="S12" s="31">
        <f>IF(OR($A12="",$C12=""),"",SUMIFS('Datos diario'!$I:$I,'Datos diario'!$C:$C,$C12,'Datos diario'!$B:$B,$A12-WEEKDAY($A12,3)))</f>
        <v/>
      </c>
      <c r="T12" s="31">
        <f>IF(OR($A12="",$C12=""),"",SUMIFS('Datos diario'!$P:$P,'Datos diario'!$C:$C,$C12,'Datos diario'!$B:$B,$A12-WEEKDAY($A12,3)))</f>
        <v/>
      </c>
      <c r="U12" s="31">
        <f>IF(OR($A12="",$C12=""),"",ROUND(SUMIFS('Datos diario'!$U:$U,'Datos diario'!$C:$C,$C12,'Datos diario'!$B:$B,$A12-WEEKDAY($A12,3)),0))</f>
        <v/>
      </c>
      <c r="V12" s="30">
        <f>IF(OR($A12="",$C12=""),"",IFERROR(ROUND(AVERAGEIFS('Datos diario'!$M:$M,'Datos diario'!$C:$C,$C12,'Datos diario'!$B:$B,$A12-WEEKDAY($A12,3),'Datos diario'!$L:$L,"&gt;0"),1),""))</f>
        <v/>
      </c>
    </row>
    <row r="13">
      <c r="A13" s="26" t="n"/>
      <c r="B13" s="22" t="n"/>
      <c r="C13" s="23">
        <f>IF(B13="","",IFERROR(INDEX(Perfil!$B$6:$B$17,MATCH(B13,Perfil!$A$6:$A$17,0)),""))</f>
        <v/>
      </c>
      <c r="D13" s="22" t="n"/>
      <c r="E13" s="22" t="n"/>
      <c r="F13" s="22" t="n"/>
      <c r="G13" s="22" t="n"/>
      <c r="H13" s="22" t="n"/>
      <c r="I13" s="22" t="n"/>
      <c r="J13" s="22" t="n"/>
      <c r="K13" s="22" t="n"/>
      <c r="L13" s="30">
        <f>IF(COUNT(D13:K13)=0,"",AVERAGE(D13:K13))</f>
        <v/>
      </c>
      <c r="M13" s="22" t="n"/>
      <c r="N13" s="22" t="n"/>
      <c r="O13" s="22" t="n"/>
      <c r="P13" s="22" t="n"/>
      <c r="Q13" s="31">
        <f>IF(OR($A13="",$C13=""),"",SUMIFS('Datos diario'!$E:$E,'Datos diario'!$C:$C,$C13,'Datos diario'!$B:$B,$A13-WEEKDAY($A13,3)))</f>
        <v/>
      </c>
      <c r="R13" s="32">
        <f>IF(OR($A13="",$C13=""),"",IFERROR(SUMIFS('Datos diario'!$F:$F,'Datos diario'!$C:$C,$C13,'Datos diario'!$B:$B,$A13-WEEKDAY($A13,3))/(SUMIFS('Datos diario'!$F:$F,'Datos diario'!$C:$C,$C13,'Datos diario'!$B:$B,$A13-WEEKDAY($A13,3))+SUMIFS('Datos diario'!$G:$G,'Datos diario'!$C:$C,$C13,'Datos diario'!$B:$B,$A13-WEEKDAY($A13,3))),""))</f>
        <v/>
      </c>
      <c r="S13" s="31">
        <f>IF(OR($A13="",$C13=""),"",SUMIFS('Datos diario'!$I:$I,'Datos diario'!$C:$C,$C13,'Datos diario'!$B:$B,$A13-WEEKDAY($A13,3)))</f>
        <v/>
      </c>
      <c r="T13" s="31">
        <f>IF(OR($A13="",$C13=""),"",SUMIFS('Datos diario'!$P:$P,'Datos diario'!$C:$C,$C13,'Datos diario'!$B:$B,$A13-WEEKDAY($A13,3)))</f>
        <v/>
      </c>
      <c r="U13" s="31">
        <f>IF(OR($A13="",$C13=""),"",ROUND(SUMIFS('Datos diario'!$U:$U,'Datos diario'!$C:$C,$C13,'Datos diario'!$B:$B,$A13-WEEKDAY($A13,3)),0))</f>
        <v/>
      </c>
      <c r="V13" s="30">
        <f>IF(OR($A13="",$C13=""),"",IFERROR(ROUND(AVERAGEIFS('Datos diario'!$M:$M,'Datos diario'!$C:$C,$C13,'Datos diario'!$B:$B,$A13-WEEKDAY($A13,3),'Datos diario'!$L:$L,"&gt;0"),1),""))</f>
        <v/>
      </c>
    </row>
    <row r="14">
      <c r="A14" s="26" t="n"/>
      <c r="B14" s="22" t="n"/>
      <c r="C14" s="23">
        <f>IF(B14="","",IFERROR(INDEX(Perfil!$B$6:$B$17,MATCH(B14,Perfil!$A$6:$A$17,0)),""))</f>
        <v/>
      </c>
      <c r="D14" s="22" t="n"/>
      <c r="E14" s="22" t="n"/>
      <c r="F14" s="22" t="n"/>
      <c r="G14" s="22" t="n"/>
      <c r="H14" s="22" t="n"/>
      <c r="I14" s="22" t="n"/>
      <c r="J14" s="22" t="n"/>
      <c r="K14" s="22" t="n"/>
      <c r="L14" s="30">
        <f>IF(COUNT(D14:K14)=0,"",AVERAGE(D14:K14))</f>
        <v/>
      </c>
      <c r="M14" s="22" t="n"/>
      <c r="N14" s="22" t="n"/>
      <c r="O14" s="22" t="n"/>
      <c r="P14" s="22" t="n"/>
      <c r="Q14" s="31">
        <f>IF(OR($A14="",$C14=""),"",SUMIFS('Datos diario'!$E:$E,'Datos diario'!$C:$C,$C14,'Datos diario'!$B:$B,$A14-WEEKDAY($A14,3)))</f>
        <v/>
      </c>
      <c r="R14" s="32">
        <f>IF(OR($A14="",$C14=""),"",IFERROR(SUMIFS('Datos diario'!$F:$F,'Datos diario'!$C:$C,$C14,'Datos diario'!$B:$B,$A14-WEEKDAY($A14,3))/(SUMIFS('Datos diario'!$F:$F,'Datos diario'!$C:$C,$C14,'Datos diario'!$B:$B,$A14-WEEKDAY($A14,3))+SUMIFS('Datos diario'!$G:$G,'Datos diario'!$C:$C,$C14,'Datos diario'!$B:$B,$A14-WEEKDAY($A14,3))),""))</f>
        <v/>
      </c>
      <c r="S14" s="31">
        <f>IF(OR($A14="",$C14=""),"",SUMIFS('Datos diario'!$I:$I,'Datos diario'!$C:$C,$C14,'Datos diario'!$B:$B,$A14-WEEKDAY($A14,3)))</f>
        <v/>
      </c>
      <c r="T14" s="31">
        <f>IF(OR($A14="",$C14=""),"",SUMIFS('Datos diario'!$P:$P,'Datos diario'!$C:$C,$C14,'Datos diario'!$B:$B,$A14-WEEKDAY($A14,3)))</f>
        <v/>
      </c>
      <c r="U14" s="31">
        <f>IF(OR($A14="",$C14=""),"",ROUND(SUMIFS('Datos diario'!$U:$U,'Datos diario'!$C:$C,$C14,'Datos diario'!$B:$B,$A14-WEEKDAY($A14,3)),0))</f>
        <v/>
      </c>
      <c r="V14" s="30">
        <f>IF(OR($A14="",$C14=""),"",IFERROR(ROUND(AVERAGEIFS('Datos diario'!$M:$M,'Datos diario'!$C:$C,$C14,'Datos diario'!$B:$B,$A14-WEEKDAY($A14,3),'Datos diario'!$L:$L,"&gt;0"),1),""))</f>
        <v/>
      </c>
    </row>
    <row r="15">
      <c r="A15" s="26" t="n"/>
      <c r="B15" s="22" t="n"/>
      <c r="C15" s="23">
        <f>IF(B15="","",IFERROR(INDEX(Perfil!$B$6:$B$17,MATCH(B15,Perfil!$A$6:$A$17,0)),""))</f>
        <v/>
      </c>
      <c r="D15" s="22" t="n"/>
      <c r="E15" s="22" t="n"/>
      <c r="F15" s="22" t="n"/>
      <c r="G15" s="22" t="n"/>
      <c r="H15" s="22" t="n"/>
      <c r="I15" s="22" t="n"/>
      <c r="J15" s="22" t="n"/>
      <c r="K15" s="22" t="n"/>
      <c r="L15" s="30">
        <f>IF(COUNT(D15:K15)=0,"",AVERAGE(D15:K15))</f>
        <v/>
      </c>
      <c r="M15" s="22" t="n"/>
      <c r="N15" s="22" t="n"/>
      <c r="O15" s="22" t="n"/>
      <c r="P15" s="22" t="n"/>
      <c r="Q15" s="31">
        <f>IF(OR($A15="",$C15=""),"",SUMIFS('Datos diario'!$E:$E,'Datos diario'!$C:$C,$C15,'Datos diario'!$B:$B,$A15-WEEKDAY($A15,3)))</f>
        <v/>
      </c>
      <c r="R15" s="32">
        <f>IF(OR($A15="",$C15=""),"",IFERROR(SUMIFS('Datos diario'!$F:$F,'Datos diario'!$C:$C,$C15,'Datos diario'!$B:$B,$A15-WEEKDAY($A15,3))/(SUMIFS('Datos diario'!$F:$F,'Datos diario'!$C:$C,$C15,'Datos diario'!$B:$B,$A15-WEEKDAY($A15,3))+SUMIFS('Datos diario'!$G:$G,'Datos diario'!$C:$C,$C15,'Datos diario'!$B:$B,$A15-WEEKDAY($A15,3))),""))</f>
        <v/>
      </c>
      <c r="S15" s="31">
        <f>IF(OR($A15="",$C15=""),"",SUMIFS('Datos diario'!$I:$I,'Datos diario'!$C:$C,$C15,'Datos diario'!$B:$B,$A15-WEEKDAY($A15,3)))</f>
        <v/>
      </c>
      <c r="T15" s="31">
        <f>IF(OR($A15="",$C15=""),"",SUMIFS('Datos diario'!$P:$P,'Datos diario'!$C:$C,$C15,'Datos diario'!$B:$B,$A15-WEEKDAY($A15,3)))</f>
        <v/>
      </c>
      <c r="U15" s="31">
        <f>IF(OR($A15="",$C15=""),"",ROUND(SUMIFS('Datos diario'!$U:$U,'Datos diario'!$C:$C,$C15,'Datos diario'!$B:$B,$A15-WEEKDAY($A15,3)),0))</f>
        <v/>
      </c>
      <c r="V15" s="30">
        <f>IF(OR($A15="",$C15=""),"",IFERROR(ROUND(AVERAGEIFS('Datos diario'!$M:$M,'Datos diario'!$C:$C,$C15,'Datos diario'!$B:$B,$A15-WEEKDAY($A15,3),'Datos diario'!$L:$L,"&gt;0"),1),""))</f>
        <v/>
      </c>
    </row>
    <row r="16">
      <c r="A16" s="26" t="n"/>
      <c r="B16" s="22" t="n"/>
      <c r="C16" s="23">
        <f>IF(B16="","",IFERROR(INDEX(Perfil!$B$6:$B$17,MATCH(B16,Perfil!$A$6:$A$17,0)),""))</f>
        <v/>
      </c>
      <c r="D16" s="22" t="n"/>
      <c r="E16" s="22" t="n"/>
      <c r="F16" s="22" t="n"/>
      <c r="G16" s="22" t="n"/>
      <c r="H16" s="22" t="n"/>
      <c r="I16" s="22" t="n"/>
      <c r="J16" s="22" t="n"/>
      <c r="K16" s="22" t="n"/>
      <c r="L16" s="30">
        <f>IF(COUNT(D16:K16)=0,"",AVERAGE(D16:K16))</f>
        <v/>
      </c>
      <c r="M16" s="22" t="n"/>
      <c r="N16" s="22" t="n"/>
      <c r="O16" s="22" t="n"/>
      <c r="P16" s="22" t="n"/>
      <c r="Q16" s="31">
        <f>IF(OR($A16="",$C16=""),"",SUMIFS('Datos diario'!$E:$E,'Datos diario'!$C:$C,$C16,'Datos diario'!$B:$B,$A16-WEEKDAY($A16,3)))</f>
        <v/>
      </c>
      <c r="R16" s="32">
        <f>IF(OR($A16="",$C16=""),"",IFERROR(SUMIFS('Datos diario'!$F:$F,'Datos diario'!$C:$C,$C16,'Datos diario'!$B:$B,$A16-WEEKDAY($A16,3))/(SUMIFS('Datos diario'!$F:$F,'Datos diario'!$C:$C,$C16,'Datos diario'!$B:$B,$A16-WEEKDAY($A16,3))+SUMIFS('Datos diario'!$G:$G,'Datos diario'!$C:$C,$C16,'Datos diario'!$B:$B,$A16-WEEKDAY($A16,3))),""))</f>
        <v/>
      </c>
      <c r="S16" s="31">
        <f>IF(OR($A16="",$C16=""),"",SUMIFS('Datos diario'!$I:$I,'Datos diario'!$C:$C,$C16,'Datos diario'!$B:$B,$A16-WEEKDAY($A16,3)))</f>
        <v/>
      </c>
      <c r="T16" s="31">
        <f>IF(OR($A16="",$C16=""),"",SUMIFS('Datos diario'!$P:$P,'Datos diario'!$C:$C,$C16,'Datos diario'!$B:$B,$A16-WEEKDAY($A16,3)))</f>
        <v/>
      </c>
      <c r="U16" s="31">
        <f>IF(OR($A16="",$C16=""),"",ROUND(SUMIFS('Datos diario'!$U:$U,'Datos diario'!$C:$C,$C16,'Datos diario'!$B:$B,$A16-WEEKDAY($A16,3)),0))</f>
        <v/>
      </c>
      <c r="V16" s="30">
        <f>IF(OR($A16="",$C16=""),"",IFERROR(ROUND(AVERAGEIFS('Datos diario'!$M:$M,'Datos diario'!$C:$C,$C16,'Datos diario'!$B:$B,$A16-WEEKDAY($A16,3),'Datos diario'!$L:$L,"&gt;0"),1),""))</f>
        <v/>
      </c>
    </row>
    <row r="17">
      <c r="A17" s="26" t="n"/>
      <c r="B17" s="22" t="n"/>
      <c r="C17" s="23">
        <f>IF(B17="","",IFERROR(INDEX(Perfil!$B$6:$B$17,MATCH(B17,Perfil!$A$6:$A$17,0)),""))</f>
        <v/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30">
        <f>IF(COUNT(D17:K17)=0,"",AVERAGE(D17:K17))</f>
        <v/>
      </c>
      <c r="M17" s="22" t="n"/>
      <c r="N17" s="22" t="n"/>
      <c r="O17" s="22" t="n"/>
      <c r="P17" s="22" t="n"/>
      <c r="Q17" s="31">
        <f>IF(OR($A17="",$C17=""),"",SUMIFS('Datos diario'!$E:$E,'Datos diario'!$C:$C,$C17,'Datos diario'!$B:$B,$A17-WEEKDAY($A17,3)))</f>
        <v/>
      </c>
      <c r="R17" s="32">
        <f>IF(OR($A17="",$C17=""),"",IFERROR(SUMIFS('Datos diario'!$F:$F,'Datos diario'!$C:$C,$C17,'Datos diario'!$B:$B,$A17-WEEKDAY($A17,3))/(SUMIFS('Datos diario'!$F:$F,'Datos diario'!$C:$C,$C17,'Datos diario'!$B:$B,$A17-WEEKDAY($A17,3))+SUMIFS('Datos diario'!$G:$G,'Datos diario'!$C:$C,$C17,'Datos diario'!$B:$B,$A17-WEEKDAY($A17,3))),""))</f>
        <v/>
      </c>
      <c r="S17" s="31">
        <f>IF(OR($A17="",$C17=""),"",SUMIFS('Datos diario'!$I:$I,'Datos diario'!$C:$C,$C17,'Datos diario'!$B:$B,$A17-WEEKDAY($A17,3)))</f>
        <v/>
      </c>
      <c r="T17" s="31">
        <f>IF(OR($A17="",$C17=""),"",SUMIFS('Datos diario'!$P:$P,'Datos diario'!$C:$C,$C17,'Datos diario'!$B:$B,$A17-WEEKDAY($A17,3)))</f>
        <v/>
      </c>
      <c r="U17" s="31">
        <f>IF(OR($A17="",$C17=""),"",ROUND(SUMIFS('Datos diario'!$U:$U,'Datos diario'!$C:$C,$C17,'Datos diario'!$B:$B,$A17-WEEKDAY($A17,3)),0))</f>
        <v/>
      </c>
      <c r="V17" s="30">
        <f>IF(OR($A17="",$C17=""),"",IFERROR(ROUND(AVERAGEIFS('Datos diario'!$M:$M,'Datos diario'!$C:$C,$C17,'Datos diario'!$B:$B,$A17-WEEKDAY($A17,3),'Datos diario'!$L:$L,"&gt;0"),1),""))</f>
        <v/>
      </c>
    </row>
    <row r="18">
      <c r="A18" s="26" t="n"/>
      <c r="B18" s="22" t="n"/>
      <c r="C18" s="23">
        <f>IF(B18="","",IFERROR(INDEX(Perfil!$B$6:$B$17,MATCH(B18,Perfil!$A$6:$A$17,0)),""))</f>
        <v/>
      </c>
      <c r="D18" s="22" t="n"/>
      <c r="E18" s="22" t="n"/>
      <c r="F18" s="22" t="n"/>
      <c r="G18" s="22" t="n"/>
      <c r="H18" s="22" t="n"/>
      <c r="I18" s="22" t="n"/>
      <c r="J18" s="22" t="n"/>
      <c r="K18" s="22" t="n"/>
      <c r="L18" s="30">
        <f>IF(COUNT(D18:K18)=0,"",AVERAGE(D18:K18))</f>
        <v/>
      </c>
      <c r="M18" s="22" t="n"/>
      <c r="N18" s="22" t="n"/>
      <c r="O18" s="22" t="n"/>
      <c r="P18" s="22" t="n"/>
      <c r="Q18" s="31">
        <f>IF(OR($A18="",$C18=""),"",SUMIFS('Datos diario'!$E:$E,'Datos diario'!$C:$C,$C18,'Datos diario'!$B:$B,$A18-WEEKDAY($A18,3)))</f>
        <v/>
      </c>
      <c r="R18" s="32">
        <f>IF(OR($A18="",$C18=""),"",IFERROR(SUMIFS('Datos diario'!$F:$F,'Datos diario'!$C:$C,$C18,'Datos diario'!$B:$B,$A18-WEEKDAY($A18,3))/(SUMIFS('Datos diario'!$F:$F,'Datos diario'!$C:$C,$C18,'Datos diario'!$B:$B,$A18-WEEKDAY($A18,3))+SUMIFS('Datos diario'!$G:$G,'Datos diario'!$C:$C,$C18,'Datos diario'!$B:$B,$A18-WEEKDAY($A18,3))),""))</f>
        <v/>
      </c>
      <c r="S18" s="31">
        <f>IF(OR($A18="",$C18=""),"",SUMIFS('Datos diario'!$I:$I,'Datos diario'!$C:$C,$C18,'Datos diario'!$B:$B,$A18-WEEKDAY($A18,3)))</f>
        <v/>
      </c>
      <c r="T18" s="31">
        <f>IF(OR($A18="",$C18=""),"",SUMIFS('Datos diario'!$P:$P,'Datos diario'!$C:$C,$C18,'Datos diario'!$B:$B,$A18-WEEKDAY($A18,3)))</f>
        <v/>
      </c>
      <c r="U18" s="31">
        <f>IF(OR($A18="",$C18=""),"",ROUND(SUMIFS('Datos diario'!$U:$U,'Datos diario'!$C:$C,$C18,'Datos diario'!$B:$B,$A18-WEEKDAY($A18,3)),0))</f>
        <v/>
      </c>
      <c r="V18" s="30">
        <f>IF(OR($A18="",$C18=""),"",IFERROR(ROUND(AVERAGEIFS('Datos diario'!$M:$M,'Datos diario'!$C:$C,$C18,'Datos diario'!$B:$B,$A18-WEEKDAY($A18,3),'Datos diario'!$L:$L,"&gt;0"),1),""))</f>
        <v/>
      </c>
    </row>
    <row r="19">
      <c r="A19" s="26" t="n"/>
      <c r="B19" s="22" t="n"/>
      <c r="C19" s="23">
        <f>IF(B19="","",IFERROR(INDEX(Perfil!$B$6:$B$17,MATCH(B19,Perfil!$A$6:$A$17,0)),""))</f>
        <v/>
      </c>
      <c r="D19" s="22" t="n"/>
      <c r="E19" s="22" t="n"/>
      <c r="F19" s="22" t="n"/>
      <c r="G19" s="22" t="n"/>
      <c r="H19" s="22" t="n"/>
      <c r="I19" s="22" t="n"/>
      <c r="J19" s="22" t="n"/>
      <c r="K19" s="22" t="n"/>
      <c r="L19" s="30">
        <f>IF(COUNT(D19:K19)=0,"",AVERAGE(D19:K19))</f>
        <v/>
      </c>
      <c r="M19" s="22" t="n"/>
      <c r="N19" s="22" t="n"/>
      <c r="O19" s="22" t="n"/>
      <c r="P19" s="22" t="n"/>
      <c r="Q19" s="31">
        <f>IF(OR($A19="",$C19=""),"",SUMIFS('Datos diario'!$E:$E,'Datos diario'!$C:$C,$C19,'Datos diario'!$B:$B,$A19-WEEKDAY($A19,3)))</f>
        <v/>
      </c>
      <c r="R19" s="32">
        <f>IF(OR($A19="",$C19=""),"",IFERROR(SUMIFS('Datos diario'!$F:$F,'Datos diario'!$C:$C,$C19,'Datos diario'!$B:$B,$A19-WEEKDAY($A19,3))/(SUMIFS('Datos diario'!$F:$F,'Datos diario'!$C:$C,$C19,'Datos diario'!$B:$B,$A19-WEEKDAY($A19,3))+SUMIFS('Datos diario'!$G:$G,'Datos diario'!$C:$C,$C19,'Datos diario'!$B:$B,$A19-WEEKDAY($A19,3))),""))</f>
        <v/>
      </c>
      <c r="S19" s="31">
        <f>IF(OR($A19="",$C19=""),"",SUMIFS('Datos diario'!$I:$I,'Datos diario'!$C:$C,$C19,'Datos diario'!$B:$B,$A19-WEEKDAY($A19,3)))</f>
        <v/>
      </c>
      <c r="T19" s="31">
        <f>IF(OR($A19="",$C19=""),"",SUMIFS('Datos diario'!$P:$P,'Datos diario'!$C:$C,$C19,'Datos diario'!$B:$B,$A19-WEEKDAY($A19,3)))</f>
        <v/>
      </c>
      <c r="U19" s="31">
        <f>IF(OR($A19="",$C19=""),"",ROUND(SUMIFS('Datos diario'!$U:$U,'Datos diario'!$C:$C,$C19,'Datos diario'!$B:$B,$A19-WEEKDAY($A19,3)),0))</f>
        <v/>
      </c>
      <c r="V19" s="30">
        <f>IF(OR($A19="",$C19=""),"",IFERROR(ROUND(AVERAGEIFS('Datos diario'!$M:$M,'Datos diario'!$C:$C,$C19,'Datos diario'!$B:$B,$A19-WEEKDAY($A19,3),'Datos diario'!$L:$L,"&gt;0"),1),""))</f>
        <v/>
      </c>
    </row>
    <row r="20">
      <c r="A20" s="26" t="n"/>
      <c r="B20" s="22" t="n"/>
      <c r="C20" s="23">
        <f>IF(B20="","",IFERROR(INDEX(Perfil!$B$6:$B$17,MATCH(B20,Perfil!$A$6:$A$17,0)),""))</f>
        <v/>
      </c>
      <c r="D20" s="22" t="n"/>
      <c r="E20" s="22" t="n"/>
      <c r="F20" s="22" t="n"/>
      <c r="G20" s="22" t="n"/>
      <c r="H20" s="22" t="n"/>
      <c r="I20" s="22" t="n"/>
      <c r="J20" s="22" t="n"/>
      <c r="K20" s="22" t="n"/>
      <c r="L20" s="30">
        <f>IF(COUNT(D20:K20)=0,"",AVERAGE(D20:K20))</f>
        <v/>
      </c>
      <c r="M20" s="22" t="n"/>
      <c r="N20" s="22" t="n"/>
      <c r="O20" s="22" t="n"/>
      <c r="P20" s="22" t="n"/>
      <c r="Q20" s="31">
        <f>IF(OR($A20="",$C20=""),"",SUMIFS('Datos diario'!$E:$E,'Datos diario'!$C:$C,$C20,'Datos diario'!$B:$B,$A20-WEEKDAY($A20,3)))</f>
        <v/>
      </c>
      <c r="R20" s="32">
        <f>IF(OR($A20="",$C20=""),"",IFERROR(SUMIFS('Datos diario'!$F:$F,'Datos diario'!$C:$C,$C20,'Datos diario'!$B:$B,$A20-WEEKDAY($A20,3))/(SUMIFS('Datos diario'!$F:$F,'Datos diario'!$C:$C,$C20,'Datos diario'!$B:$B,$A20-WEEKDAY($A20,3))+SUMIFS('Datos diario'!$G:$G,'Datos diario'!$C:$C,$C20,'Datos diario'!$B:$B,$A20-WEEKDAY($A20,3))),""))</f>
        <v/>
      </c>
      <c r="S20" s="31">
        <f>IF(OR($A20="",$C20=""),"",SUMIFS('Datos diario'!$I:$I,'Datos diario'!$C:$C,$C20,'Datos diario'!$B:$B,$A20-WEEKDAY($A20,3)))</f>
        <v/>
      </c>
      <c r="T20" s="31">
        <f>IF(OR($A20="",$C20=""),"",SUMIFS('Datos diario'!$P:$P,'Datos diario'!$C:$C,$C20,'Datos diario'!$B:$B,$A20-WEEKDAY($A20,3)))</f>
        <v/>
      </c>
      <c r="U20" s="31">
        <f>IF(OR($A20="",$C20=""),"",ROUND(SUMIFS('Datos diario'!$U:$U,'Datos diario'!$C:$C,$C20,'Datos diario'!$B:$B,$A20-WEEKDAY($A20,3)),0))</f>
        <v/>
      </c>
      <c r="V20" s="30">
        <f>IF(OR($A20="",$C20=""),"",IFERROR(ROUND(AVERAGEIFS('Datos diario'!$M:$M,'Datos diario'!$C:$C,$C20,'Datos diario'!$B:$B,$A20-WEEKDAY($A20,3),'Datos diario'!$L:$L,"&gt;0"),1),""))</f>
        <v/>
      </c>
    </row>
    <row r="21">
      <c r="A21" s="26" t="n"/>
      <c r="B21" s="22" t="n"/>
      <c r="C21" s="23">
        <f>IF(B21="","",IFERROR(INDEX(Perfil!$B$6:$B$17,MATCH(B21,Perfil!$A$6:$A$17,0)),""))</f>
        <v/>
      </c>
      <c r="D21" s="22" t="n"/>
      <c r="E21" s="22" t="n"/>
      <c r="F21" s="22" t="n"/>
      <c r="G21" s="22" t="n"/>
      <c r="H21" s="22" t="n"/>
      <c r="I21" s="22" t="n"/>
      <c r="J21" s="22" t="n"/>
      <c r="K21" s="22" t="n"/>
      <c r="L21" s="30">
        <f>IF(COUNT(D21:K21)=0,"",AVERAGE(D21:K21))</f>
        <v/>
      </c>
      <c r="M21" s="22" t="n"/>
      <c r="N21" s="22" t="n"/>
      <c r="O21" s="22" t="n"/>
      <c r="P21" s="22" t="n"/>
      <c r="Q21" s="31">
        <f>IF(OR($A21="",$C21=""),"",SUMIFS('Datos diario'!$E:$E,'Datos diario'!$C:$C,$C21,'Datos diario'!$B:$B,$A21-WEEKDAY($A21,3)))</f>
        <v/>
      </c>
      <c r="R21" s="32">
        <f>IF(OR($A21="",$C21=""),"",IFERROR(SUMIFS('Datos diario'!$F:$F,'Datos diario'!$C:$C,$C21,'Datos diario'!$B:$B,$A21-WEEKDAY($A21,3))/(SUMIFS('Datos diario'!$F:$F,'Datos diario'!$C:$C,$C21,'Datos diario'!$B:$B,$A21-WEEKDAY($A21,3))+SUMIFS('Datos diario'!$G:$G,'Datos diario'!$C:$C,$C21,'Datos diario'!$B:$B,$A21-WEEKDAY($A21,3))),""))</f>
        <v/>
      </c>
      <c r="S21" s="31">
        <f>IF(OR($A21="",$C21=""),"",SUMIFS('Datos diario'!$I:$I,'Datos diario'!$C:$C,$C21,'Datos diario'!$B:$B,$A21-WEEKDAY($A21,3)))</f>
        <v/>
      </c>
      <c r="T21" s="31">
        <f>IF(OR($A21="",$C21=""),"",SUMIFS('Datos diario'!$P:$P,'Datos diario'!$C:$C,$C21,'Datos diario'!$B:$B,$A21-WEEKDAY($A21,3)))</f>
        <v/>
      </c>
      <c r="U21" s="31">
        <f>IF(OR($A21="",$C21=""),"",ROUND(SUMIFS('Datos diario'!$U:$U,'Datos diario'!$C:$C,$C21,'Datos diario'!$B:$B,$A21-WEEKDAY($A21,3)),0))</f>
        <v/>
      </c>
      <c r="V21" s="30">
        <f>IF(OR($A21="",$C21=""),"",IFERROR(ROUND(AVERAGEIFS('Datos diario'!$M:$M,'Datos diario'!$C:$C,$C21,'Datos diario'!$B:$B,$A21-WEEKDAY($A21,3),'Datos diario'!$L:$L,"&gt;0"),1),""))</f>
        <v/>
      </c>
    </row>
    <row r="22">
      <c r="A22" s="26" t="n"/>
      <c r="B22" s="22" t="n"/>
      <c r="C22" s="23">
        <f>IF(B22="","",IFERROR(INDEX(Perfil!$B$6:$B$17,MATCH(B22,Perfil!$A$6:$A$17,0)),""))</f>
        <v/>
      </c>
      <c r="D22" s="22" t="n"/>
      <c r="E22" s="22" t="n"/>
      <c r="F22" s="22" t="n"/>
      <c r="G22" s="22" t="n"/>
      <c r="H22" s="22" t="n"/>
      <c r="I22" s="22" t="n"/>
      <c r="J22" s="22" t="n"/>
      <c r="K22" s="22" t="n"/>
      <c r="L22" s="30">
        <f>IF(COUNT(D22:K22)=0,"",AVERAGE(D22:K22))</f>
        <v/>
      </c>
      <c r="M22" s="22" t="n"/>
      <c r="N22" s="22" t="n"/>
      <c r="O22" s="22" t="n"/>
      <c r="P22" s="22" t="n"/>
      <c r="Q22" s="31">
        <f>IF(OR($A22="",$C22=""),"",SUMIFS('Datos diario'!$E:$E,'Datos diario'!$C:$C,$C22,'Datos diario'!$B:$B,$A22-WEEKDAY($A22,3)))</f>
        <v/>
      </c>
      <c r="R22" s="32">
        <f>IF(OR($A22="",$C22=""),"",IFERROR(SUMIFS('Datos diario'!$F:$F,'Datos diario'!$C:$C,$C22,'Datos diario'!$B:$B,$A22-WEEKDAY($A22,3))/(SUMIFS('Datos diario'!$F:$F,'Datos diario'!$C:$C,$C22,'Datos diario'!$B:$B,$A22-WEEKDAY($A22,3))+SUMIFS('Datos diario'!$G:$G,'Datos diario'!$C:$C,$C22,'Datos diario'!$B:$B,$A22-WEEKDAY($A22,3))),""))</f>
        <v/>
      </c>
      <c r="S22" s="31">
        <f>IF(OR($A22="",$C22=""),"",SUMIFS('Datos diario'!$I:$I,'Datos diario'!$C:$C,$C22,'Datos diario'!$B:$B,$A22-WEEKDAY($A22,3)))</f>
        <v/>
      </c>
      <c r="T22" s="31">
        <f>IF(OR($A22="",$C22=""),"",SUMIFS('Datos diario'!$P:$P,'Datos diario'!$C:$C,$C22,'Datos diario'!$B:$B,$A22-WEEKDAY($A22,3)))</f>
        <v/>
      </c>
      <c r="U22" s="31">
        <f>IF(OR($A22="",$C22=""),"",ROUND(SUMIFS('Datos diario'!$U:$U,'Datos diario'!$C:$C,$C22,'Datos diario'!$B:$B,$A22-WEEKDAY($A22,3)),0))</f>
        <v/>
      </c>
      <c r="V22" s="30">
        <f>IF(OR($A22="",$C22=""),"",IFERROR(ROUND(AVERAGEIFS('Datos diario'!$M:$M,'Datos diario'!$C:$C,$C22,'Datos diario'!$B:$B,$A22-WEEKDAY($A22,3),'Datos diario'!$L:$L,"&gt;0"),1),""))</f>
        <v/>
      </c>
    </row>
    <row r="23">
      <c r="A23" s="26" t="n"/>
      <c r="B23" s="22" t="n"/>
      <c r="C23" s="23">
        <f>IF(B23="","",IFERROR(INDEX(Perfil!$B$6:$B$17,MATCH(B23,Perfil!$A$6:$A$17,0)),""))</f>
        <v/>
      </c>
      <c r="D23" s="22" t="n"/>
      <c r="E23" s="22" t="n"/>
      <c r="F23" s="22" t="n"/>
      <c r="G23" s="22" t="n"/>
      <c r="H23" s="22" t="n"/>
      <c r="I23" s="22" t="n"/>
      <c r="J23" s="22" t="n"/>
      <c r="K23" s="22" t="n"/>
      <c r="L23" s="30">
        <f>IF(COUNT(D23:K23)=0,"",AVERAGE(D23:K23))</f>
        <v/>
      </c>
      <c r="M23" s="22" t="n"/>
      <c r="N23" s="22" t="n"/>
      <c r="O23" s="22" t="n"/>
      <c r="P23" s="22" t="n"/>
      <c r="Q23" s="31">
        <f>IF(OR($A23="",$C23=""),"",SUMIFS('Datos diario'!$E:$E,'Datos diario'!$C:$C,$C23,'Datos diario'!$B:$B,$A23-WEEKDAY($A23,3)))</f>
        <v/>
      </c>
      <c r="R23" s="32">
        <f>IF(OR($A23="",$C23=""),"",IFERROR(SUMIFS('Datos diario'!$F:$F,'Datos diario'!$C:$C,$C23,'Datos diario'!$B:$B,$A23-WEEKDAY($A23,3))/(SUMIFS('Datos diario'!$F:$F,'Datos diario'!$C:$C,$C23,'Datos diario'!$B:$B,$A23-WEEKDAY($A23,3))+SUMIFS('Datos diario'!$G:$G,'Datos diario'!$C:$C,$C23,'Datos diario'!$B:$B,$A23-WEEKDAY($A23,3))),""))</f>
        <v/>
      </c>
      <c r="S23" s="31">
        <f>IF(OR($A23="",$C23=""),"",SUMIFS('Datos diario'!$I:$I,'Datos diario'!$C:$C,$C23,'Datos diario'!$B:$B,$A23-WEEKDAY($A23,3)))</f>
        <v/>
      </c>
      <c r="T23" s="31">
        <f>IF(OR($A23="",$C23=""),"",SUMIFS('Datos diario'!$P:$P,'Datos diario'!$C:$C,$C23,'Datos diario'!$B:$B,$A23-WEEKDAY($A23,3)))</f>
        <v/>
      </c>
      <c r="U23" s="31">
        <f>IF(OR($A23="",$C23=""),"",ROUND(SUMIFS('Datos diario'!$U:$U,'Datos diario'!$C:$C,$C23,'Datos diario'!$B:$B,$A23-WEEKDAY($A23,3)),0))</f>
        <v/>
      </c>
      <c r="V23" s="30">
        <f>IF(OR($A23="",$C23=""),"",IFERROR(ROUND(AVERAGEIFS('Datos diario'!$M:$M,'Datos diario'!$C:$C,$C23,'Datos diario'!$B:$B,$A23-WEEKDAY($A23,3),'Datos diario'!$L:$L,"&gt;0"),1),""))</f>
        <v/>
      </c>
    </row>
    <row r="24">
      <c r="A24" s="26" t="n"/>
      <c r="B24" s="22" t="n"/>
      <c r="C24" s="23">
        <f>IF(B24="","",IFERROR(INDEX(Perfil!$B$6:$B$17,MATCH(B24,Perfil!$A$6:$A$17,0)),""))</f>
        <v/>
      </c>
      <c r="D24" s="22" t="n"/>
      <c r="E24" s="22" t="n"/>
      <c r="F24" s="22" t="n"/>
      <c r="G24" s="22" t="n"/>
      <c r="H24" s="22" t="n"/>
      <c r="I24" s="22" t="n"/>
      <c r="J24" s="22" t="n"/>
      <c r="K24" s="22" t="n"/>
      <c r="L24" s="30">
        <f>IF(COUNT(D24:K24)=0,"",AVERAGE(D24:K24))</f>
        <v/>
      </c>
      <c r="M24" s="22" t="n"/>
      <c r="N24" s="22" t="n"/>
      <c r="O24" s="22" t="n"/>
      <c r="P24" s="22" t="n"/>
      <c r="Q24" s="31">
        <f>IF(OR($A24="",$C24=""),"",SUMIFS('Datos diario'!$E:$E,'Datos diario'!$C:$C,$C24,'Datos diario'!$B:$B,$A24-WEEKDAY($A24,3)))</f>
        <v/>
      </c>
      <c r="R24" s="32">
        <f>IF(OR($A24="",$C24=""),"",IFERROR(SUMIFS('Datos diario'!$F:$F,'Datos diario'!$C:$C,$C24,'Datos diario'!$B:$B,$A24-WEEKDAY($A24,3))/(SUMIFS('Datos diario'!$F:$F,'Datos diario'!$C:$C,$C24,'Datos diario'!$B:$B,$A24-WEEKDAY($A24,3))+SUMIFS('Datos diario'!$G:$G,'Datos diario'!$C:$C,$C24,'Datos diario'!$B:$B,$A24-WEEKDAY($A24,3))),""))</f>
        <v/>
      </c>
      <c r="S24" s="31">
        <f>IF(OR($A24="",$C24=""),"",SUMIFS('Datos diario'!$I:$I,'Datos diario'!$C:$C,$C24,'Datos diario'!$B:$B,$A24-WEEKDAY($A24,3)))</f>
        <v/>
      </c>
      <c r="T24" s="31">
        <f>IF(OR($A24="",$C24=""),"",SUMIFS('Datos diario'!$P:$P,'Datos diario'!$C:$C,$C24,'Datos diario'!$B:$B,$A24-WEEKDAY($A24,3)))</f>
        <v/>
      </c>
      <c r="U24" s="31">
        <f>IF(OR($A24="",$C24=""),"",ROUND(SUMIFS('Datos diario'!$U:$U,'Datos diario'!$C:$C,$C24,'Datos diario'!$B:$B,$A24-WEEKDAY($A24,3)),0))</f>
        <v/>
      </c>
      <c r="V24" s="30">
        <f>IF(OR($A24="",$C24=""),"",IFERROR(ROUND(AVERAGEIFS('Datos diario'!$M:$M,'Datos diario'!$C:$C,$C24,'Datos diario'!$B:$B,$A24-WEEKDAY($A24,3),'Datos diario'!$L:$L,"&gt;0"),1),""))</f>
        <v/>
      </c>
    </row>
    <row r="25">
      <c r="A25" s="26" t="n"/>
      <c r="B25" s="22" t="n"/>
      <c r="C25" s="23">
        <f>IF(B25="","",IFERROR(INDEX(Perfil!$B$6:$B$17,MATCH(B25,Perfil!$A$6:$A$17,0)),""))</f>
        <v/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30">
        <f>IF(COUNT(D25:K25)=0,"",AVERAGE(D25:K25))</f>
        <v/>
      </c>
      <c r="M25" s="22" t="n"/>
      <c r="N25" s="22" t="n"/>
      <c r="O25" s="22" t="n"/>
      <c r="P25" s="22" t="n"/>
      <c r="Q25" s="31">
        <f>IF(OR($A25="",$C25=""),"",SUMIFS('Datos diario'!$E:$E,'Datos diario'!$C:$C,$C25,'Datos diario'!$B:$B,$A25-WEEKDAY($A25,3)))</f>
        <v/>
      </c>
      <c r="R25" s="32">
        <f>IF(OR($A25="",$C25=""),"",IFERROR(SUMIFS('Datos diario'!$F:$F,'Datos diario'!$C:$C,$C25,'Datos diario'!$B:$B,$A25-WEEKDAY($A25,3))/(SUMIFS('Datos diario'!$F:$F,'Datos diario'!$C:$C,$C25,'Datos diario'!$B:$B,$A25-WEEKDAY($A25,3))+SUMIFS('Datos diario'!$G:$G,'Datos diario'!$C:$C,$C25,'Datos diario'!$B:$B,$A25-WEEKDAY($A25,3))),""))</f>
        <v/>
      </c>
      <c r="S25" s="31">
        <f>IF(OR($A25="",$C25=""),"",SUMIFS('Datos diario'!$I:$I,'Datos diario'!$C:$C,$C25,'Datos diario'!$B:$B,$A25-WEEKDAY($A25,3)))</f>
        <v/>
      </c>
      <c r="T25" s="31">
        <f>IF(OR($A25="",$C25=""),"",SUMIFS('Datos diario'!$P:$P,'Datos diario'!$C:$C,$C25,'Datos diario'!$B:$B,$A25-WEEKDAY($A25,3)))</f>
        <v/>
      </c>
      <c r="U25" s="31">
        <f>IF(OR($A25="",$C25=""),"",ROUND(SUMIFS('Datos diario'!$U:$U,'Datos diario'!$C:$C,$C25,'Datos diario'!$B:$B,$A25-WEEKDAY($A25,3)),0))</f>
        <v/>
      </c>
      <c r="V25" s="30">
        <f>IF(OR($A25="",$C25=""),"",IFERROR(ROUND(AVERAGEIFS('Datos diario'!$M:$M,'Datos diario'!$C:$C,$C25,'Datos diario'!$B:$B,$A25-WEEKDAY($A25,3),'Datos diario'!$L:$L,"&gt;0"),1),""))</f>
        <v/>
      </c>
    </row>
    <row r="26">
      <c r="A26" s="26" t="n"/>
      <c r="B26" s="22" t="n"/>
      <c r="C26" s="23">
        <f>IF(B26="","",IFERROR(INDEX(Perfil!$B$6:$B$17,MATCH(B26,Perfil!$A$6:$A$17,0)),""))</f>
        <v/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30">
        <f>IF(COUNT(D26:K26)=0,"",AVERAGE(D26:K26))</f>
        <v/>
      </c>
      <c r="M26" s="22" t="n"/>
      <c r="N26" s="22" t="n"/>
      <c r="O26" s="22" t="n"/>
      <c r="P26" s="22" t="n"/>
      <c r="Q26" s="31">
        <f>IF(OR($A26="",$C26=""),"",SUMIFS('Datos diario'!$E:$E,'Datos diario'!$C:$C,$C26,'Datos diario'!$B:$B,$A26-WEEKDAY($A26,3)))</f>
        <v/>
      </c>
      <c r="R26" s="32">
        <f>IF(OR($A26="",$C26=""),"",IFERROR(SUMIFS('Datos diario'!$F:$F,'Datos diario'!$C:$C,$C26,'Datos diario'!$B:$B,$A26-WEEKDAY($A26,3))/(SUMIFS('Datos diario'!$F:$F,'Datos diario'!$C:$C,$C26,'Datos diario'!$B:$B,$A26-WEEKDAY($A26,3))+SUMIFS('Datos diario'!$G:$G,'Datos diario'!$C:$C,$C26,'Datos diario'!$B:$B,$A26-WEEKDAY($A26,3))),""))</f>
        <v/>
      </c>
      <c r="S26" s="31">
        <f>IF(OR($A26="",$C26=""),"",SUMIFS('Datos diario'!$I:$I,'Datos diario'!$C:$C,$C26,'Datos diario'!$B:$B,$A26-WEEKDAY($A26,3)))</f>
        <v/>
      </c>
      <c r="T26" s="31">
        <f>IF(OR($A26="",$C26=""),"",SUMIFS('Datos diario'!$P:$P,'Datos diario'!$C:$C,$C26,'Datos diario'!$B:$B,$A26-WEEKDAY($A26,3)))</f>
        <v/>
      </c>
      <c r="U26" s="31">
        <f>IF(OR($A26="",$C26=""),"",ROUND(SUMIFS('Datos diario'!$U:$U,'Datos diario'!$C:$C,$C26,'Datos diario'!$B:$B,$A26-WEEKDAY($A26,3)),0))</f>
        <v/>
      </c>
      <c r="V26" s="30">
        <f>IF(OR($A26="",$C26=""),"",IFERROR(ROUND(AVERAGEIFS('Datos diario'!$M:$M,'Datos diario'!$C:$C,$C26,'Datos diario'!$B:$B,$A26-WEEKDAY($A26,3),'Datos diario'!$L:$L,"&gt;0"),1),""))</f>
        <v/>
      </c>
    </row>
    <row r="27">
      <c r="A27" s="26" t="n"/>
      <c r="B27" s="22" t="n"/>
      <c r="C27" s="23">
        <f>IF(B27="","",IFERROR(INDEX(Perfil!$B$6:$B$17,MATCH(B27,Perfil!$A$6:$A$17,0)),""))</f>
        <v/>
      </c>
      <c r="D27" s="22" t="n"/>
      <c r="E27" s="22" t="n"/>
      <c r="F27" s="22" t="n"/>
      <c r="G27" s="22" t="n"/>
      <c r="H27" s="22" t="n"/>
      <c r="I27" s="22" t="n"/>
      <c r="J27" s="22" t="n"/>
      <c r="K27" s="22" t="n"/>
      <c r="L27" s="30">
        <f>IF(COUNT(D27:K27)=0,"",AVERAGE(D27:K27))</f>
        <v/>
      </c>
      <c r="M27" s="22" t="n"/>
      <c r="N27" s="22" t="n"/>
      <c r="O27" s="22" t="n"/>
      <c r="P27" s="22" t="n"/>
      <c r="Q27" s="31">
        <f>IF(OR($A27="",$C27=""),"",SUMIFS('Datos diario'!$E:$E,'Datos diario'!$C:$C,$C27,'Datos diario'!$B:$B,$A27-WEEKDAY($A27,3)))</f>
        <v/>
      </c>
      <c r="R27" s="32">
        <f>IF(OR($A27="",$C27=""),"",IFERROR(SUMIFS('Datos diario'!$F:$F,'Datos diario'!$C:$C,$C27,'Datos diario'!$B:$B,$A27-WEEKDAY($A27,3))/(SUMIFS('Datos diario'!$F:$F,'Datos diario'!$C:$C,$C27,'Datos diario'!$B:$B,$A27-WEEKDAY($A27,3))+SUMIFS('Datos diario'!$G:$G,'Datos diario'!$C:$C,$C27,'Datos diario'!$B:$B,$A27-WEEKDAY($A27,3))),""))</f>
        <v/>
      </c>
      <c r="S27" s="31">
        <f>IF(OR($A27="",$C27=""),"",SUMIFS('Datos diario'!$I:$I,'Datos diario'!$C:$C,$C27,'Datos diario'!$B:$B,$A27-WEEKDAY($A27,3)))</f>
        <v/>
      </c>
      <c r="T27" s="31">
        <f>IF(OR($A27="",$C27=""),"",SUMIFS('Datos diario'!$P:$P,'Datos diario'!$C:$C,$C27,'Datos diario'!$B:$B,$A27-WEEKDAY($A27,3)))</f>
        <v/>
      </c>
      <c r="U27" s="31">
        <f>IF(OR($A27="",$C27=""),"",ROUND(SUMIFS('Datos diario'!$U:$U,'Datos diario'!$C:$C,$C27,'Datos diario'!$B:$B,$A27-WEEKDAY($A27,3)),0))</f>
        <v/>
      </c>
      <c r="V27" s="30">
        <f>IF(OR($A27="",$C27=""),"",IFERROR(ROUND(AVERAGEIFS('Datos diario'!$M:$M,'Datos diario'!$C:$C,$C27,'Datos diario'!$B:$B,$A27-WEEKDAY($A27,3),'Datos diario'!$L:$L,"&gt;0"),1),""))</f>
        <v/>
      </c>
    </row>
    <row r="28">
      <c r="A28" s="26" t="n"/>
      <c r="B28" s="22" t="n"/>
      <c r="C28" s="23">
        <f>IF(B28="","",IFERROR(INDEX(Perfil!$B$6:$B$17,MATCH(B28,Perfil!$A$6:$A$17,0)),""))</f>
        <v/>
      </c>
      <c r="D28" s="22" t="n"/>
      <c r="E28" s="22" t="n"/>
      <c r="F28" s="22" t="n"/>
      <c r="G28" s="22" t="n"/>
      <c r="H28" s="22" t="n"/>
      <c r="I28" s="22" t="n"/>
      <c r="J28" s="22" t="n"/>
      <c r="K28" s="22" t="n"/>
      <c r="L28" s="30">
        <f>IF(COUNT(D28:K28)=0,"",AVERAGE(D28:K28))</f>
        <v/>
      </c>
      <c r="M28" s="22" t="n"/>
      <c r="N28" s="22" t="n"/>
      <c r="O28" s="22" t="n"/>
      <c r="P28" s="22" t="n"/>
      <c r="Q28" s="31">
        <f>IF(OR($A28="",$C28=""),"",SUMIFS('Datos diario'!$E:$E,'Datos diario'!$C:$C,$C28,'Datos diario'!$B:$B,$A28-WEEKDAY($A28,3)))</f>
        <v/>
      </c>
      <c r="R28" s="32">
        <f>IF(OR($A28="",$C28=""),"",IFERROR(SUMIFS('Datos diario'!$F:$F,'Datos diario'!$C:$C,$C28,'Datos diario'!$B:$B,$A28-WEEKDAY($A28,3))/(SUMIFS('Datos diario'!$F:$F,'Datos diario'!$C:$C,$C28,'Datos diario'!$B:$B,$A28-WEEKDAY($A28,3))+SUMIFS('Datos diario'!$G:$G,'Datos diario'!$C:$C,$C28,'Datos diario'!$B:$B,$A28-WEEKDAY($A28,3))),""))</f>
        <v/>
      </c>
      <c r="S28" s="31">
        <f>IF(OR($A28="",$C28=""),"",SUMIFS('Datos diario'!$I:$I,'Datos diario'!$C:$C,$C28,'Datos diario'!$B:$B,$A28-WEEKDAY($A28,3)))</f>
        <v/>
      </c>
      <c r="T28" s="31">
        <f>IF(OR($A28="",$C28=""),"",SUMIFS('Datos diario'!$P:$P,'Datos diario'!$C:$C,$C28,'Datos diario'!$B:$B,$A28-WEEKDAY($A28,3)))</f>
        <v/>
      </c>
      <c r="U28" s="31">
        <f>IF(OR($A28="",$C28=""),"",ROUND(SUMIFS('Datos diario'!$U:$U,'Datos diario'!$C:$C,$C28,'Datos diario'!$B:$B,$A28-WEEKDAY($A28,3)),0))</f>
        <v/>
      </c>
      <c r="V28" s="30">
        <f>IF(OR($A28="",$C28=""),"",IFERROR(ROUND(AVERAGEIFS('Datos diario'!$M:$M,'Datos diario'!$C:$C,$C28,'Datos diario'!$B:$B,$A28-WEEKDAY($A28,3),'Datos diario'!$L:$L,"&gt;0"),1),""))</f>
        <v/>
      </c>
    </row>
    <row r="29">
      <c r="A29" s="26" t="n"/>
      <c r="B29" s="22" t="n"/>
      <c r="C29" s="23">
        <f>IF(B29="","",IFERROR(INDEX(Perfil!$B$6:$B$17,MATCH(B29,Perfil!$A$6:$A$17,0)),""))</f>
        <v/>
      </c>
      <c r="D29" s="22" t="n"/>
      <c r="E29" s="22" t="n"/>
      <c r="F29" s="22" t="n"/>
      <c r="G29" s="22" t="n"/>
      <c r="H29" s="22" t="n"/>
      <c r="I29" s="22" t="n"/>
      <c r="J29" s="22" t="n"/>
      <c r="K29" s="22" t="n"/>
      <c r="L29" s="30">
        <f>IF(COUNT(D29:K29)=0,"",AVERAGE(D29:K29))</f>
        <v/>
      </c>
      <c r="M29" s="22" t="n"/>
      <c r="N29" s="22" t="n"/>
      <c r="O29" s="22" t="n"/>
      <c r="P29" s="22" t="n"/>
      <c r="Q29" s="31">
        <f>IF(OR($A29="",$C29=""),"",SUMIFS('Datos diario'!$E:$E,'Datos diario'!$C:$C,$C29,'Datos diario'!$B:$B,$A29-WEEKDAY($A29,3)))</f>
        <v/>
      </c>
      <c r="R29" s="32">
        <f>IF(OR($A29="",$C29=""),"",IFERROR(SUMIFS('Datos diario'!$F:$F,'Datos diario'!$C:$C,$C29,'Datos diario'!$B:$B,$A29-WEEKDAY($A29,3))/(SUMIFS('Datos diario'!$F:$F,'Datos diario'!$C:$C,$C29,'Datos diario'!$B:$B,$A29-WEEKDAY($A29,3))+SUMIFS('Datos diario'!$G:$G,'Datos diario'!$C:$C,$C29,'Datos diario'!$B:$B,$A29-WEEKDAY($A29,3))),""))</f>
        <v/>
      </c>
      <c r="S29" s="31">
        <f>IF(OR($A29="",$C29=""),"",SUMIFS('Datos diario'!$I:$I,'Datos diario'!$C:$C,$C29,'Datos diario'!$B:$B,$A29-WEEKDAY($A29,3)))</f>
        <v/>
      </c>
      <c r="T29" s="31">
        <f>IF(OR($A29="",$C29=""),"",SUMIFS('Datos diario'!$P:$P,'Datos diario'!$C:$C,$C29,'Datos diario'!$B:$B,$A29-WEEKDAY($A29,3)))</f>
        <v/>
      </c>
      <c r="U29" s="31">
        <f>IF(OR($A29="",$C29=""),"",ROUND(SUMIFS('Datos diario'!$U:$U,'Datos diario'!$C:$C,$C29,'Datos diario'!$B:$B,$A29-WEEKDAY($A29,3)),0))</f>
        <v/>
      </c>
      <c r="V29" s="30">
        <f>IF(OR($A29="",$C29=""),"",IFERROR(ROUND(AVERAGEIFS('Datos diario'!$M:$M,'Datos diario'!$C:$C,$C29,'Datos diario'!$B:$B,$A29-WEEKDAY($A29,3),'Datos diario'!$L:$L,"&gt;0"),1),""))</f>
        <v/>
      </c>
    </row>
    <row r="30">
      <c r="A30" s="26" t="n"/>
      <c r="B30" s="22" t="n"/>
      <c r="C30" s="23">
        <f>IF(B30="","",IFERROR(INDEX(Perfil!$B$6:$B$17,MATCH(B30,Perfil!$A$6:$A$17,0)),""))</f>
        <v/>
      </c>
      <c r="D30" s="22" t="n"/>
      <c r="E30" s="22" t="n"/>
      <c r="F30" s="22" t="n"/>
      <c r="G30" s="22" t="n"/>
      <c r="H30" s="22" t="n"/>
      <c r="I30" s="22" t="n"/>
      <c r="J30" s="22" t="n"/>
      <c r="K30" s="22" t="n"/>
      <c r="L30" s="30">
        <f>IF(COUNT(D30:K30)=0,"",AVERAGE(D30:K30))</f>
        <v/>
      </c>
      <c r="M30" s="22" t="n"/>
      <c r="N30" s="22" t="n"/>
      <c r="O30" s="22" t="n"/>
      <c r="P30" s="22" t="n"/>
      <c r="Q30" s="31">
        <f>IF(OR($A30="",$C30=""),"",SUMIFS('Datos diario'!$E:$E,'Datos diario'!$C:$C,$C30,'Datos diario'!$B:$B,$A30-WEEKDAY($A30,3)))</f>
        <v/>
      </c>
      <c r="R30" s="32">
        <f>IF(OR($A30="",$C30=""),"",IFERROR(SUMIFS('Datos diario'!$F:$F,'Datos diario'!$C:$C,$C30,'Datos diario'!$B:$B,$A30-WEEKDAY($A30,3))/(SUMIFS('Datos diario'!$F:$F,'Datos diario'!$C:$C,$C30,'Datos diario'!$B:$B,$A30-WEEKDAY($A30,3))+SUMIFS('Datos diario'!$G:$G,'Datos diario'!$C:$C,$C30,'Datos diario'!$B:$B,$A30-WEEKDAY($A30,3))),""))</f>
        <v/>
      </c>
      <c r="S30" s="31">
        <f>IF(OR($A30="",$C30=""),"",SUMIFS('Datos diario'!$I:$I,'Datos diario'!$C:$C,$C30,'Datos diario'!$B:$B,$A30-WEEKDAY($A30,3)))</f>
        <v/>
      </c>
      <c r="T30" s="31">
        <f>IF(OR($A30="",$C30=""),"",SUMIFS('Datos diario'!$P:$P,'Datos diario'!$C:$C,$C30,'Datos diario'!$B:$B,$A30-WEEKDAY($A30,3)))</f>
        <v/>
      </c>
      <c r="U30" s="31">
        <f>IF(OR($A30="",$C30=""),"",ROUND(SUMIFS('Datos diario'!$U:$U,'Datos diario'!$C:$C,$C30,'Datos diario'!$B:$B,$A30-WEEKDAY($A30,3)),0))</f>
        <v/>
      </c>
      <c r="V30" s="30">
        <f>IF(OR($A30="",$C30=""),"",IFERROR(ROUND(AVERAGEIFS('Datos diario'!$M:$M,'Datos diario'!$C:$C,$C30,'Datos diario'!$B:$B,$A30-WEEKDAY($A30,3),'Datos diario'!$L:$L,"&gt;0"),1),""))</f>
        <v/>
      </c>
    </row>
    <row r="31">
      <c r="A31" s="26" t="n"/>
      <c r="B31" s="22" t="n"/>
      <c r="C31" s="23">
        <f>IF(B31="","",IFERROR(INDEX(Perfil!$B$6:$B$17,MATCH(B31,Perfil!$A$6:$A$17,0)),""))</f>
        <v/>
      </c>
      <c r="D31" s="22" t="n"/>
      <c r="E31" s="22" t="n"/>
      <c r="F31" s="22" t="n"/>
      <c r="G31" s="22" t="n"/>
      <c r="H31" s="22" t="n"/>
      <c r="I31" s="22" t="n"/>
      <c r="J31" s="22" t="n"/>
      <c r="K31" s="22" t="n"/>
      <c r="L31" s="30">
        <f>IF(COUNT(D31:K31)=0,"",AVERAGE(D31:K31))</f>
        <v/>
      </c>
      <c r="M31" s="22" t="n"/>
      <c r="N31" s="22" t="n"/>
      <c r="O31" s="22" t="n"/>
      <c r="P31" s="22" t="n"/>
      <c r="Q31" s="31">
        <f>IF(OR($A31="",$C31=""),"",SUMIFS('Datos diario'!$E:$E,'Datos diario'!$C:$C,$C31,'Datos diario'!$B:$B,$A31-WEEKDAY($A31,3)))</f>
        <v/>
      </c>
      <c r="R31" s="32">
        <f>IF(OR($A31="",$C31=""),"",IFERROR(SUMIFS('Datos diario'!$F:$F,'Datos diario'!$C:$C,$C31,'Datos diario'!$B:$B,$A31-WEEKDAY($A31,3))/(SUMIFS('Datos diario'!$F:$F,'Datos diario'!$C:$C,$C31,'Datos diario'!$B:$B,$A31-WEEKDAY($A31,3))+SUMIFS('Datos diario'!$G:$G,'Datos diario'!$C:$C,$C31,'Datos diario'!$B:$B,$A31-WEEKDAY($A31,3))),""))</f>
        <v/>
      </c>
      <c r="S31" s="31">
        <f>IF(OR($A31="",$C31=""),"",SUMIFS('Datos diario'!$I:$I,'Datos diario'!$C:$C,$C31,'Datos diario'!$B:$B,$A31-WEEKDAY($A31,3)))</f>
        <v/>
      </c>
      <c r="T31" s="31">
        <f>IF(OR($A31="",$C31=""),"",SUMIFS('Datos diario'!$P:$P,'Datos diario'!$C:$C,$C31,'Datos diario'!$B:$B,$A31-WEEKDAY($A31,3)))</f>
        <v/>
      </c>
      <c r="U31" s="31">
        <f>IF(OR($A31="",$C31=""),"",ROUND(SUMIFS('Datos diario'!$U:$U,'Datos diario'!$C:$C,$C31,'Datos diario'!$B:$B,$A31-WEEKDAY($A31,3)),0))</f>
        <v/>
      </c>
      <c r="V31" s="30">
        <f>IF(OR($A31="",$C31=""),"",IFERROR(ROUND(AVERAGEIFS('Datos diario'!$M:$M,'Datos diario'!$C:$C,$C31,'Datos diario'!$B:$B,$A31-WEEKDAY($A31,3),'Datos diario'!$L:$L,"&gt;0"),1),""))</f>
        <v/>
      </c>
    </row>
    <row r="32">
      <c r="A32" s="26" t="n"/>
      <c r="B32" s="22" t="n"/>
      <c r="C32" s="23">
        <f>IF(B32="","",IFERROR(INDEX(Perfil!$B$6:$B$17,MATCH(B32,Perfil!$A$6:$A$17,0)),""))</f>
        <v/>
      </c>
      <c r="D32" s="22" t="n"/>
      <c r="E32" s="22" t="n"/>
      <c r="F32" s="22" t="n"/>
      <c r="G32" s="22" t="n"/>
      <c r="H32" s="22" t="n"/>
      <c r="I32" s="22" t="n"/>
      <c r="J32" s="22" t="n"/>
      <c r="K32" s="22" t="n"/>
      <c r="L32" s="30">
        <f>IF(COUNT(D32:K32)=0,"",AVERAGE(D32:K32))</f>
        <v/>
      </c>
      <c r="M32" s="22" t="n"/>
      <c r="N32" s="22" t="n"/>
      <c r="O32" s="22" t="n"/>
      <c r="P32" s="22" t="n"/>
      <c r="Q32" s="31">
        <f>IF(OR($A32="",$C32=""),"",SUMIFS('Datos diario'!$E:$E,'Datos diario'!$C:$C,$C32,'Datos diario'!$B:$B,$A32-WEEKDAY($A32,3)))</f>
        <v/>
      </c>
      <c r="R32" s="32">
        <f>IF(OR($A32="",$C32=""),"",IFERROR(SUMIFS('Datos diario'!$F:$F,'Datos diario'!$C:$C,$C32,'Datos diario'!$B:$B,$A32-WEEKDAY($A32,3))/(SUMIFS('Datos diario'!$F:$F,'Datos diario'!$C:$C,$C32,'Datos diario'!$B:$B,$A32-WEEKDAY($A32,3))+SUMIFS('Datos diario'!$G:$G,'Datos diario'!$C:$C,$C32,'Datos diario'!$B:$B,$A32-WEEKDAY($A32,3))),""))</f>
        <v/>
      </c>
      <c r="S32" s="31">
        <f>IF(OR($A32="",$C32=""),"",SUMIFS('Datos diario'!$I:$I,'Datos diario'!$C:$C,$C32,'Datos diario'!$B:$B,$A32-WEEKDAY($A32,3)))</f>
        <v/>
      </c>
      <c r="T32" s="31">
        <f>IF(OR($A32="",$C32=""),"",SUMIFS('Datos diario'!$P:$P,'Datos diario'!$C:$C,$C32,'Datos diario'!$B:$B,$A32-WEEKDAY($A32,3)))</f>
        <v/>
      </c>
      <c r="U32" s="31">
        <f>IF(OR($A32="",$C32=""),"",ROUND(SUMIFS('Datos diario'!$U:$U,'Datos diario'!$C:$C,$C32,'Datos diario'!$B:$B,$A32-WEEKDAY($A32,3)),0))</f>
        <v/>
      </c>
      <c r="V32" s="30">
        <f>IF(OR($A32="",$C32=""),"",IFERROR(ROUND(AVERAGEIFS('Datos diario'!$M:$M,'Datos diario'!$C:$C,$C32,'Datos diario'!$B:$B,$A32-WEEKDAY($A32,3),'Datos diario'!$L:$L,"&gt;0"),1),""))</f>
        <v/>
      </c>
    </row>
    <row r="33">
      <c r="A33" s="26" t="n"/>
      <c r="B33" s="22" t="n"/>
      <c r="C33" s="23">
        <f>IF(B33="","",IFERROR(INDEX(Perfil!$B$6:$B$17,MATCH(B33,Perfil!$A$6:$A$17,0)),""))</f>
        <v/>
      </c>
      <c r="D33" s="22" t="n"/>
      <c r="E33" s="22" t="n"/>
      <c r="F33" s="22" t="n"/>
      <c r="G33" s="22" t="n"/>
      <c r="H33" s="22" t="n"/>
      <c r="I33" s="22" t="n"/>
      <c r="J33" s="22" t="n"/>
      <c r="K33" s="22" t="n"/>
      <c r="L33" s="30">
        <f>IF(COUNT(D33:K33)=0,"",AVERAGE(D33:K33))</f>
        <v/>
      </c>
      <c r="M33" s="22" t="n"/>
      <c r="N33" s="22" t="n"/>
      <c r="O33" s="22" t="n"/>
      <c r="P33" s="22" t="n"/>
      <c r="Q33" s="31">
        <f>IF(OR($A33="",$C33=""),"",SUMIFS('Datos diario'!$E:$E,'Datos diario'!$C:$C,$C33,'Datos diario'!$B:$B,$A33-WEEKDAY($A33,3)))</f>
        <v/>
      </c>
      <c r="R33" s="32">
        <f>IF(OR($A33="",$C33=""),"",IFERROR(SUMIFS('Datos diario'!$F:$F,'Datos diario'!$C:$C,$C33,'Datos diario'!$B:$B,$A33-WEEKDAY($A33,3))/(SUMIFS('Datos diario'!$F:$F,'Datos diario'!$C:$C,$C33,'Datos diario'!$B:$B,$A33-WEEKDAY($A33,3))+SUMIFS('Datos diario'!$G:$G,'Datos diario'!$C:$C,$C33,'Datos diario'!$B:$B,$A33-WEEKDAY($A33,3))),""))</f>
        <v/>
      </c>
      <c r="S33" s="31">
        <f>IF(OR($A33="",$C33=""),"",SUMIFS('Datos diario'!$I:$I,'Datos diario'!$C:$C,$C33,'Datos diario'!$B:$B,$A33-WEEKDAY($A33,3)))</f>
        <v/>
      </c>
      <c r="T33" s="31">
        <f>IF(OR($A33="",$C33=""),"",SUMIFS('Datos diario'!$P:$P,'Datos diario'!$C:$C,$C33,'Datos diario'!$B:$B,$A33-WEEKDAY($A33,3)))</f>
        <v/>
      </c>
      <c r="U33" s="31">
        <f>IF(OR($A33="",$C33=""),"",ROUND(SUMIFS('Datos diario'!$U:$U,'Datos diario'!$C:$C,$C33,'Datos diario'!$B:$B,$A33-WEEKDAY($A33,3)),0))</f>
        <v/>
      </c>
      <c r="V33" s="30">
        <f>IF(OR($A33="",$C33=""),"",IFERROR(ROUND(AVERAGEIFS('Datos diario'!$M:$M,'Datos diario'!$C:$C,$C33,'Datos diario'!$B:$B,$A33-WEEKDAY($A33,3),'Datos diario'!$L:$L,"&gt;0"),1),""))</f>
        <v/>
      </c>
    </row>
    <row r="34">
      <c r="A34" s="26" t="n"/>
      <c r="B34" s="22" t="n"/>
      <c r="C34" s="23">
        <f>IF(B34="","",IFERROR(INDEX(Perfil!$B$6:$B$17,MATCH(B34,Perfil!$A$6:$A$17,0)),""))</f>
        <v/>
      </c>
      <c r="D34" s="22" t="n"/>
      <c r="E34" s="22" t="n"/>
      <c r="F34" s="22" t="n"/>
      <c r="G34" s="22" t="n"/>
      <c r="H34" s="22" t="n"/>
      <c r="I34" s="22" t="n"/>
      <c r="J34" s="22" t="n"/>
      <c r="K34" s="22" t="n"/>
      <c r="L34" s="30">
        <f>IF(COUNT(D34:K34)=0,"",AVERAGE(D34:K34))</f>
        <v/>
      </c>
      <c r="M34" s="22" t="n"/>
      <c r="N34" s="22" t="n"/>
      <c r="O34" s="22" t="n"/>
      <c r="P34" s="22" t="n"/>
      <c r="Q34" s="31">
        <f>IF(OR($A34="",$C34=""),"",SUMIFS('Datos diario'!$E:$E,'Datos diario'!$C:$C,$C34,'Datos diario'!$B:$B,$A34-WEEKDAY($A34,3)))</f>
        <v/>
      </c>
      <c r="R34" s="32">
        <f>IF(OR($A34="",$C34=""),"",IFERROR(SUMIFS('Datos diario'!$F:$F,'Datos diario'!$C:$C,$C34,'Datos diario'!$B:$B,$A34-WEEKDAY($A34,3))/(SUMIFS('Datos diario'!$F:$F,'Datos diario'!$C:$C,$C34,'Datos diario'!$B:$B,$A34-WEEKDAY($A34,3))+SUMIFS('Datos diario'!$G:$G,'Datos diario'!$C:$C,$C34,'Datos diario'!$B:$B,$A34-WEEKDAY($A34,3))),""))</f>
        <v/>
      </c>
      <c r="S34" s="31">
        <f>IF(OR($A34="",$C34=""),"",SUMIFS('Datos diario'!$I:$I,'Datos diario'!$C:$C,$C34,'Datos diario'!$B:$B,$A34-WEEKDAY($A34,3)))</f>
        <v/>
      </c>
      <c r="T34" s="31">
        <f>IF(OR($A34="",$C34=""),"",SUMIFS('Datos diario'!$P:$P,'Datos diario'!$C:$C,$C34,'Datos diario'!$B:$B,$A34-WEEKDAY($A34,3)))</f>
        <v/>
      </c>
      <c r="U34" s="31">
        <f>IF(OR($A34="",$C34=""),"",ROUND(SUMIFS('Datos diario'!$U:$U,'Datos diario'!$C:$C,$C34,'Datos diario'!$B:$B,$A34-WEEKDAY($A34,3)),0))</f>
        <v/>
      </c>
      <c r="V34" s="30">
        <f>IF(OR($A34="",$C34=""),"",IFERROR(ROUND(AVERAGEIFS('Datos diario'!$M:$M,'Datos diario'!$C:$C,$C34,'Datos diario'!$B:$B,$A34-WEEKDAY($A34,3),'Datos diario'!$L:$L,"&gt;0"),1),""))</f>
        <v/>
      </c>
    </row>
    <row r="35">
      <c r="A35" s="26" t="n"/>
      <c r="B35" s="22" t="n"/>
      <c r="C35" s="23">
        <f>IF(B35="","",IFERROR(INDEX(Perfil!$B$6:$B$17,MATCH(B35,Perfil!$A$6:$A$17,0)),""))</f>
        <v/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30">
        <f>IF(COUNT(D35:K35)=0,"",AVERAGE(D35:K35))</f>
        <v/>
      </c>
      <c r="M35" s="22" t="n"/>
      <c r="N35" s="22" t="n"/>
      <c r="O35" s="22" t="n"/>
      <c r="P35" s="22" t="n"/>
      <c r="Q35" s="31">
        <f>IF(OR($A35="",$C35=""),"",SUMIFS('Datos diario'!$E:$E,'Datos diario'!$C:$C,$C35,'Datos diario'!$B:$B,$A35-WEEKDAY($A35,3)))</f>
        <v/>
      </c>
      <c r="R35" s="32">
        <f>IF(OR($A35="",$C35=""),"",IFERROR(SUMIFS('Datos diario'!$F:$F,'Datos diario'!$C:$C,$C35,'Datos diario'!$B:$B,$A35-WEEKDAY($A35,3))/(SUMIFS('Datos diario'!$F:$F,'Datos diario'!$C:$C,$C35,'Datos diario'!$B:$B,$A35-WEEKDAY($A35,3))+SUMIFS('Datos diario'!$G:$G,'Datos diario'!$C:$C,$C35,'Datos diario'!$B:$B,$A35-WEEKDAY($A35,3))),""))</f>
        <v/>
      </c>
      <c r="S35" s="31">
        <f>IF(OR($A35="",$C35=""),"",SUMIFS('Datos diario'!$I:$I,'Datos diario'!$C:$C,$C35,'Datos diario'!$B:$B,$A35-WEEKDAY($A35,3)))</f>
        <v/>
      </c>
      <c r="T35" s="31">
        <f>IF(OR($A35="",$C35=""),"",SUMIFS('Datos diario'!$P:$P,'Datos diario'!$C:$C,$C35,'Datos diario'!$B:$B,$A35-WEEKDAY($A35,3)))</f>
        <v/>
      </c>
      <c r="U35" s="31">
        <f>IF(OR($A35="",$C35=""),"",ROUND(SUMIFS('Datos diario'!$U:$U,'Datos diario'!$C:$C,$C35,'Datos diario'!$B:$B,$A35-WEEKDAY($A35,3)),0))</f>
        <v/>
      </c>
      <c r="V35" s="30">
        <f>IF(OR($A35="",$C35=""),"",IFERROR(ROUND(AVERAGEIFS('Datos diario'!$M:$M,'Datos diario'!$C:$C,$C35,'Datos diario'!$B:$B,$A35-WEEKDAY($A35,3),'Datos diario'!$L:$L,"&gt;0"),1),""))</f>
        <v/>
      </c>
    </row>
    <row r="36">
      <c r="A36" s="26" t="n"/>
      <c r="B36" s="22" t="n"/>
      <c r="C36" s="23">
        <f>IF(B36="","",IFERROR(INDEX(Perfil!$B$6:$B$17,MATCH(B36,Perfil!$A$6:$A$17,0)),""))</f>
        <v/>
      </c>
      <c r="D36" s="22" t="n"/>
      <c r="E36" s="22" t="n"/>
      <c r="F36" s="22" t="n"/>
      <c r="G36" s="22" t="n"/>
      <c r="H36" s="22" t="n"/>
      <c r="I36" s="22" t="n"/>
      <c r="J36" s="22" t="n"/>
      <c r="K36" s="22" t="n"/>
      <c r="L36" s="30">
        <f>IF(COUNT(D36:K36)=0,"",AVERAGE(D36:K36))</f>
        <v/>
      </c>
      <c r="M36" s="22" t="n"/>
      <c r="N36" s="22" t="n"/>
      <c r="O36" s="22" t="n"/>
      <c r="P36" s="22" t="n"/>
      <c r="Q36" s="31">
        <f>IF(OR($A36="",$C36=""),"",SUMIFS('Datos diario'!$E:$E,'Datos diario'!$C:$C,$C36,'Datos diario'!$B:$B,$A36-WEEKDAY($A36,3)))</f>
        <v/>
      </c>
      <c r="R36" s="32">
        <f>IF(OR($A36="",$C36=""),"",IFERROR(SUMIFS('Datos diario'!$F:$F,'Datos diario'!$C:$C,$C36,'Datos diario'!$B:$B,$A36-WEEKDAY($A36,3))/(SUMIFS('Datos diario'!$F:$F,'Datos diario'!$C:$C,$C36,'Datos diario'!$B:$B,$A36-WEEKDAY($A36,3))+SUMIFS('Datos diario'!$G:$G,'Datos diario'!$C:$C,$C36,'Datos diario'!$B:$B,$A36-WEEKDAY($A36,3))),""))</f>
        <v/>
      </c>
      <c r="S36" s="31">
        <f>IF(OR($A36="",$C36=""),"",SUMIFS('Datos diario'!$I:$I,'Datos diario'!$C:$C,$C36,'Datos diario'!$B:$B,$A36-WEEKDAY($A36,3)))</f>
        <v/>
      </c>
      <c r="T36" s="31">
        <f>IF(OR($A36="",$C36=""),"",SUMIFS('Datos diario'!$P:$P,'Datos diario'!$C:$C,$C36,'Datos diario'!$B:$B,$A36-WEEKDAY($A36,3)))</f>
        <v/>
      </c>
      <c r="U36" s="31">
        <f>IF(OR($A36="",$C36=""),"",ROUND(SUMIFS('Datos diario'!$U:$U,'Datos diario'!$C:$C,$C36,'Datos diario'!$B:$B,$A36-WEEKDAY($A36,3)),0))</f>
        <v/>
      </c>
      <c r="V36" s="30">
        <f>IF(OR($A36="",$C36=""),"",IFERROR(ROUND(AVERAGEIFS('Datos diario'!$M:$M,'Datos diario'!$C:$C,$C36,'Datos diario'!$B:$B,$A36-WEEKDAY($A36,3),'Datos diario'!$L:$L,"&gt;0"),1),""))</f>
        <v/>
      </c>
    </row>
    <row r="37">
      <c r="A37" s="26" t="n"/>
      <c r="B37" s="22" t="n"/>
      <c r="C37" s="23">
        <f>IF(B37="","",IFERROR(INDEX(Perfil!$B$6:$B$17,MATCH(B37,Perfil!$A$6:$A$17,0)),""))</f>
        <v/>
      </c>
      <c r="D37" s="22" t="n"/>
      <c r="E37" s="22" t="n"/>
      <c r="F37" s="22" t="n"/>
      <c r="G37" s="22" t="n"/>
      <c r="H37" s="22" t="n"/>
      <c r="I37" s="22" t="n"/>
      <c r="J37" s="22" t="n"/>
      <c r="K37" s="22" t="n"/>
      <c r="L37" s="30">
        <f>IF(COUNT(D37:K37)=0,"",AVERAGE(D37:K37))</f>
        <v/>
      </c>
      <c r="M37" s="22" t="n"/>
      <c r="N37" s="22" t="n"/>
      <c r="O37" s="22" t="n"/>
      <c r="P37" s="22" t="n"/>
      <c r="Q37" s="31">
        <f>IF(OR($A37="",$C37=""),"",SUMIFS('Datos diario'!$E:$E,'Datos diario'!$C:$C,$C37,'Datos diario'!$B:$B,$A37-WEEKDAY($A37,3)))</f>
        <v/>
      </c>
      <c r="R37" s="32">
        <f>IF(OR($A37="",$C37=""),"",IFERROR(SUMIFS('Datos diario'!$F:$F,'Datos diario'!$C:$C,$C37,'Datos diario'!$B:$B,$A37-WEEKDAY($A37,3))/(SUMIFS('Datos diario'!$F:$F,'Datos diario'!$C:$C,$C37,'Datos diario'!$B:$B,$A37-WEEKDAY($A37,3))+SUMIFS('Datos diario'!$G:$G,'Datos diario'!$C:$C,$C37,'Datos diario'!$B:$B,$A37-WEEKDAY($A37,3))),""))</f>
        <v/>
      </c>
      <c r="S37" s="31">
        <f>IF(OR($A37="",$C37=""),"",SUMIFS('Datos diario'!$I:$I,'Datos diario'!$C:$C,$C37,'Datos diario'!$B:$B,$A37-WEEKDAY($A37,3)))</f>
        <v/>
      </c>
      <c r="T37" s="31">
        <f>IF(OR($A37="",$C37=""),"",SUMIFS('Datos diario'!$P:$P,'Datos diario'!$C:$C,$C37,'Datos diario'!$B:$B,$A37-WEEKDAY($A37,3)))</f>
        <v/>
      </c>
      <c r="U37" s="31">
        <f>IF(OR($A37="",$C37=""),"",ROUND(SUMIFS('Datos diario'!$U:$U,'Datos diario'!$C:$C,$C37,'Datos diario'!$B:$B,$A37-WEEKDAY($A37,3)),0))</f>
        <v/>
      </c>
      <c r="V37" s="30">
        <f>IF(OR($A37="",$C37=""),"",IFERROR(ROUND(AVERAGEIFS('Datos diario'!$M:$M,'Datos diario'!$C:$C,$C37,'Datos diario'!$B:$B,$A37-WEEKDAY($A37,3),'Datos diario'!$L:$L,"&gt;0"),1),""))</f>
        <v/>
      </c>
    </row>
    <row r="38">
      <c r="A38" s="26" t="n"/>
      <c r="B38" s="22" t="n"/>
      <c r="C38" s="23">
        <f>IF(B38="","",IFERROR(INDEX(Perfil!$B$6:$B$17,MATCH(B38,Perfil!$A$6:$A$17,0)),""))</f>
        <v/>
      </c>
      <c r="D38" s="22" t="n"/>
      <c r="E38" s="22" t="n"/>
      <c r="F38" s="22" t="n"/>
      <c r="G38" s="22" t="n"/>
      <c r="H38" s="22" t="n"/>
      <c r="I38" s="22" t="n"/>
      <c r="J38" s="22" t="n"/>
      <c r="K38" s="22" t="n"/>
      <c r="L38" s="30">
        <f>IF(COUNT(D38:K38)=0,"",AVERAGE(D38:K38))</f>
        <v/>
      </c>
      <c r="M38" s="22" t="n"/>
      <c r="N38" s="22" t="n"/>
      <c r="O38" s="22" t="n"/>
      <c r="P38" s="22" t="n"/>
      <c r="Q38" s="31">
        <f>IF(OR($A38="",$C38=""),"",SUMIFS('Datos diario'!$E:$E,'Datos diario'!$C:$C,$C38,'Datos diario'!$B:$B,$A38-WEEKDAY($A38,3)))</f>
        <v/>
      </c>
      <c r="R38" s="32">
        <f>IF(OR($A38="",$C38=""),"",IFERROR(SUMIFS('Datos diario'!$F:$F,'Datos diario'!$C:$C,$C38,'Datos diario'!$B:$B,$A38-WEEKDAY($A38,3))/(SUMIFS('Datos diario'!$F:$F,'Datos diario'!$C:$C,$C38,'Datos diario'!$B:$B,$A38-WEEKDAY($A38,3))+SUMIFS('Datos diario'!$G:$G,'Datos diario'!$C:$C,$C38,'Datos diario'!$B:$B,$A38-WEEKDAY($A38,3))),""))</f>
        <v/>
      </c>
      <c r="S38" s="31">
        <f>IF(OR($A38="",$C38=""),"",SUMIFS('Datos diario'!$I:$I,'Datos diario'!$C:$C,$C38,'Datos diario'!$B:$B,$A38-WEEKDAY($A38,3)))</f>
        <v/>
      </c>
      <c r="T38" s="31">
        <f>IF(OR($A38="",$C38=""),"",SUMIFS('Datos diario'!$P:$P,'Datos diario'!$C:$C,$C38,'Datos diario'!$B:$B,$A38-WEEKDAY($A38,3)))</f>
        <v/>
      </c>
      <c r="U38" s="31">
        <f>IF(OR($A38="",$C38=""),"",ROUND(SUMIFS('Datos diario'!$U:$U,'Datos diario'!$C:$C,$C38,'Datos diario'!$B:$B,$A38-WEEKDAY($A38,3)),0))</f>
        <v/>
      </c>
      <c r="V38" s="30">
        <f>IF(OR($A38="",$C38=""),"",IFERROR(ROUND(AVERAGEIFS('Datos diario'!$M:$M,'Datos diario'!$C:$C,$C38,'Datos diario'!$B:$B,$A38-WEEKDAY($A38,3),'Datos diario'!$L:$L,"&gt;0"),1),""))</f>
        <v/>
      </c>
    </row>
    <row r="39">
      <c r="A39" s="26" t="n"/>
      <c r="B39" s="22" t="n"/>
      <c r="C39" s="23">
        <f>IF(B39="","",IFERROR(INDEX(Perfil!$B$6:$B$17,MATCH(B39,Perfil!$A$6:$A$17,0)),""))</f>
        <v/>
      </c>
      <c r="D39" s="22" t="n"/>
      <c r="E39" s="22" t="n"/>
      <c r="F39" s="22" t="n"/>
      <c r="G39" s="22" t="n"/>
      <c r="H39" s="22" t="n"/>
      <c r="I39" s="22" t="n"/>
      <c r="J39" s="22" t="n"/>
      <c r="K39" s="22" t="n"/>
      <c r="L39" s="30">
        <f>IF(COUNT(D39:K39)=0,"",AVERAGE(D39:K39))</f>
        <v/>
      </c>
      <c r="M39" s="22" t="n"/>
      <c r="N39" s="22" t="n"/>
      <c r="O39" s="22" t="n"/>
      <c r="P39" s="22" t="n"/>
      <c r="Q39" s="31">
        <f>IF(OR($A39="",$C39=""),"",SUMIFS('Datos diario'!$E:$E,'Datos diario'!$C:$C,$C39,'Datos diario'!$B:$B,$A39-WEEKDAY($A39,3)))</f>
        <v/>
      </c>
      <c r="R39" s="32">
        <f>IF(OR($A39="",$C39=""),"",IFERROR(SUMIFS('Datos diario'!$F:$F,'Datos diario'!$C:$C,$C39,'Datos diario'!$B:$B,$A39-WEEKDAY($A39,3))/(SUMIFS('Datos diario'!$F:$F,'Datos diario'!$C:$C,$C39,'Datos diario'!$B:$B,$A39-WEEKDAY($A39,3))+SUMIFS('Datos diario'!$G:$G,'Datos diario'!$C:$C,$C39,'Datos diario'!$B:$B,$A39-WEEKDAY($A39,3))),""))</f>
        <v/>
      </c>
      <c r="S39" s="31">
        <f>IF(OR($A39="",$C39=""),"",SUMIFS('Datos diario'!$I:$I,'Datos diario'!$C:$C,$C39,'Datos diario'!$B:$B,$A39-WEEKDAY($A39,3)))</f>
        <v/>
      </c>
      <c r="T39" s="31">
        <f>IF(OR($A39="",$C39=""),"",SUMIFS('Datos diario'!$P:$P,'Datos diario'!$C:$C,$C39,'Datos diario'!$B:$B,$A39-WEEKDAY($A39,3)))</f>
        <v/>
      </c>
      <c r="U39" s="31">
        <f>IF(OR($A39="",$C39=""),"",ROUND(SUMIFS('Datos diario'!$U:$U,'Datos diario'!$C:$C,$C39,'Datos diario'!$B:$B,$A39-WEEKDAY($A39,3)),0))</f>
        <v/>
      </c>
      <c r="V39" s="30">
        <f>IF(OR($A39="",$C39=""),"",IFERROR(ROUND(AVERAGEIFS('Datos diario'!$M:$M,'Datos diario'!$C:$C,$C39,'Datos diario'!$B:$B,$A39-WEEKDAY($A39,3),'Datos diario'!$L:$L,"&gt;0"),1),""))</f>
        <v/>
      </c>
    </row>
    <row r="40">
      <c r="A40" s="26" t="n"/>
      <c r="B40" s="22" t="n"/>
      <c r="C40" s="23">
        <f>IF(B40="","",IFERROR(INDEX(Perfil!$B$6:$B$17,MATCH(B40,Perfil!$A$6:$A$17,0)),""))</f>
        <v/>
      </c>
      <c r="D40" s="22" t="n"/>
      <c r="E40" s="22" t="n"/>
      <c r="F40" s="22" t="n"/>
      <c r="G40" s="22" t="n"/>
      <c r="H40" s="22" t="n"/>
      <c r="I40" s="22" t="n"/>
      <c r="J40" s="22" t="n"/>
      <c r="K40" s="22" t="n"/>
      <c r="L40" s="30">
        <f>IF(COUNT(D40:K40)=0,"",AVERAGE(D40:K40))</f>
        <v/>
      </c>
      <c r="M40" s="22" t="n"/>
      <c r="N40" s="22" t="n"/>
      <c r="O40" s="22" t="n"/>
      <c r="P40" s="22" t="n"/>
      <c r="Q40" s="31">
        <f>IF(OR($A40="",$C40=""),"",SUMIFS('Datos diario'!$E:$E,'Datos diario'!$C:$C,$C40,'Datos diario'!$B:$B,$A40-WEEKDAY($A40,3)))</f>
        <v/>
      </c>
      <c r="R40" s="32">
        <f>IF(OR($A40="",$C40=""),"",IFERROR(SUMIFS('Datos diario'!$F:$F,'Datos diario'!$C:$C,$C40,'Datos diario'!$B:$B,$A40-WEEKDAY($A40,3))/(SUMIFS('Datos diario'!$F:$F,'Datos diario'!$C:$C,$C40,'Datos diario'!$B:$B,$A40-WEEKDAY($A40,3))+SUMIFS('Datos diario'!$G:$G,'Datos diario'!$C:$C,$C40,'Datos diario'!$B:$B,$A40-WEEKDAY($A40,3))),""))</f>
        <v/>
      </c>
      <c r="S40" s="31">
        <f>IF(OR($A40="",$C40=""),"",SUMIFS('Datos diario'!$I:$I,'Datos diario'!$C:$C,$C40,'Datos diario'!$B:$B,$A40-WEEKDAY($A40,3)))</f>
        <v/>
      </c>
      <c r="T40" s="31">
        <f>IF(OR($A40="",$C40=""),"",SUMIFS('Datos diario'!$P:$P,'Datos diario'!$C:$C,$C40,'Datos diario'!$B:$B,$A40-WEEKDAY($A40,3)))</f>
        <v/>
      </c>
      <c r="U40" s="31">
        <f>IF(OR($A40="",$C40=""),"",ROUND(SUMIFS('Datos diario'!$U:$U,'Datos diario'!$C:$C,$C40,'Datos diario'!$B:$B,$A40-WEEKDAY($A40,3)),0))</f>
        <v/>
      </c>
      <c r="V40" s="30">
        <f>IF(OR($A40="",$C40=""),"",IFERROR(ROUND(AVERAGEIFS('Datos diario'!$M:$M,'Datos diario'!$C:$C,$C40,'Datos diario'!$B:$B,$A40-WEEKDAY($A40,3),'Datos diario'!$L:$L,"&gt;0"),1),""))</f>
        <v/>
      </c>
    </row>
    <row r="41">
      <c r="A41" s="26" t="n"/>
      <c r="B41" s="22" t="n"/>
      <c r="C41" s="23">
        <f>IF(B41="","",IFERROR(INDEX(Perfil!$B$6:$B$17,MATCH(B41,Perfil!$A$6:$A$17,0)),""))</f>
        <v/>
      </c>
      <c r="D41" s="22" t="n"/>
      <c r="E41" s="22" t="n"/>
      <c r="F41" s="22" t="n"/>
      <c r="G41" s="22" t="n"/>
      <c r="H41" s="22" t="n"/>
      <c r="I41" s="22" t="n"/>
      <c r="J41" s="22" t="n"/>
      <c r="K41" s="22" t="n"/>
      <c r="L41" s="30">
        <f>IF(COUNT(D41:K41)=0,"",AVERAGE(D41:K41))</f>
        <v/>
      </c>
      <c r="M41" s="22" t="n"/>
      <c r="N41" s="22" t="n"/>
      <c r="O41" s="22" t="n"/>
      <c r="P41" s="22" t="n"/>
      <c r="Q41" s="31">
        <f>IF(OR($A41="",$C41=""),"",SUMIFS('Datos diario'!$E:$E,'Datos diario'!$C:$C,$C41,'Datos diario'!$B:$B,$A41-WEEKDAY($A41,3)))</f>
        <v/>
      </c>
      <c r="R41" s="32">
        <f>IF(OR($A41="",$C41=""),"",IFERROR(SUMIFS('Datos diario'!$F:$F,'Datos diario'!$C:$C,$C41,'Datos diario'!$B:$B,$A41-WEEKDAY($A41,3))/(SUMIFS('Datos diario'!$F:$F,'Datos diario'!$C:$C,$C41,'Datos diario'!$B:$B,$A41-WEEKDAY($A41,3))+SUMIFS('Datos diario'!$G:$G,'Datos diario'!$C:$C,$C41,'Datos diario'!$B:$B,$A41-WEEKDAY($A41,3))),""))</f>
        <v/>
      </c>
      <c r="S41" s="31">
        <f>IF(OR($A41="",$C41=""),"",SUMIFS('Datos diario'!$I:$I,'Datos diario'!$C:$C,$C41,'Datos diario'!$B:$B,$A41-WEEKDAY($A41,3)))</f>
        <v/>
      </c>
      <c r="T41" s="31">
        <f>IF(OR($A41="",$C41=""),"",SUMIFS('Datos diario'!$P:$P,'Datos diario'!$C:$C,$C41,'Datos diario'!$B:$B,$A41-WEEKDAY($A41,3)))</f>
        <v/>
      </c>
      <c r="U41" s="31">
        <f>IF(OR($A41="",$C41=""),"",ROUND(SUMIFS('Datos diario'!$U:$U,'Datos diario'!$C:$C,$C41,'Datos diario'!$B:$B,$A41-WEEKDAY($A41,3)),0))</f>
        <v/>
      </c>
      <c r="V41" s="30">
        <f>IF(OR($A41="",$C41=""),"",IFERROR(ROUND(AVERAGEIFS('Datos diario'!$M:$M,'Datos diario'!$C:$C,$C41,'Datos diario'!$B:$B,$A41-WEEKDAY($A41,3),'Datos diario'!$L:$L,"&gt;0"),1),""))</f>
        <v/>
      </c>
    </row>
    <row r="42">
      <c r="A42" s="26" t="n"/>
      <c r="B42" s="22" t="n"/>
      <c r="C42" s="23">
        <f>IF(B42="","",IFERROR(INDEX(Perfil!$B$6:$B$17,MATCH(B42,Perfil!$A$6:$A$17,0)),""))</f>
        <v/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30">
        <f>IF(COUNT(D42:K42)=0,"",AVERAGE(D42:K42))</f>
        <v/>
      </c>
      <c r="M42" s="22" t="n"/>
      <c r="N42" s="22" t="n"/>
      <c r="O42" s="22" t="n"/>
      <c r="P42" s="22" t="n"/>
      <c r="Q42" s="31">
        <f>IF(OR($A42="",$C42=""),"",SUMIFS('Datos diario'!$E:$E,'Datos diario'!$C:$C,$C42,'Datos diario'!$B:$B,$A42-WEEKDAY($A42,3)))</f>
        <v/>
      </c>
      <c r="R42" s="32">
        <f>IF(OR($A42="",$C42=""),"",IFERROR(SUMIFS('Datos diario'!$F:$F,'Datos diario'!$C:$C,$C42,'Datos diario'!$B:$B,$A42-WEEKDAY($A42,3))/(SUMIFS('Datos diario'!$F:$F,'Datos diario'!$C:$C,$C42,'Datos diario'!$B:$B,$A42-WEEKDAY($A42,3))+SUMIFS('Datos diario'!$G:$G,'Datos diario'!$C:$C,$C42,'Datos diario'!$B:$B,$A42-WEEKDAY($A42,3))),""))</f>
        <v/>
      </c>
      <c r="S42" s="31">
        <f>IF(OR($A42="",$C42=""),"",SUMIFS('Datos diario'!$I:$I,'Datos diario'!$C:$C,$C42,'Datos diario'!$B:$B,$A42-WEEKDAY($A42,3)))</f>
        <v/>
      </c>
      <c r="T42" s="31">
        <f>IF(OR($A42="",$C42=""),"",SUMIFS('Datos diario'!$P:$P,'Datos diario'!$C:$C,$C42,'Datos diario'!$B:$B,$A42-WEEKDAY($A42,3)))</f>
        <v/>
      </c>
      <c r="U42" s="31">
        <f>IF(OR($A42="",$C42=""),"",ROUND(SUMIFS('Datos diario'!$U:$U,'Datos diario'!$C:$C,$C42,'Datos diario'!$B:$B,$A42-WEEKDAY($A42,3)),0))</f>
        <v/>
      </c>
      <c r="V42" s="30">
        <f>IF(OR($A42="",$C42=""),"",IFERROR(ROUND(AVERAGEIFS('Datos diario'!$M:$M,'Datos diario'!$C:$C,$C42,'Datos diario'!$B:$B,$A42-WEEKDAY($A42,3),'Datos diario'!$L:$L,"&gt;0"),1),""))</f>
        <v/>
      </c>
    </row>
    <row r="43">
      <c r="A43" s="26" t="n"/>
      <c r="B43" s="22" t="n"/>
      <c r="C43" s="23">
        <f>IF(B43="","",IFERROR(INDEX(Perfil!$B$6:$B$17,MATCH(B43,Perfil!$A$6:$A$17,0)),""))</f>
        <v/>
      </c>
      <c r="D43" s="22" t="n"/>
      <c r="E43" s="22" t="n"/>
      <c r="F43" s="22" t="n"/>
      <c r="G43" s="22" t="n"/>
      <c r="H43" s="22" t="n"/>
      <c r="I43" s="22" t="n"/>
      <c r="J43" s="22" t="n"/>
      <c r="K43" s="22" t="n"/>
      <c r="L43" s="30">
        <f>IF(COUNT(D43:K43)=0,"",AVERAGE(D43:K43))</f>
        <v/>
      </c>
      <c r="M43" s="22" t="n"/>
      <c r="N43" s="22" t="n"/>
      <c r="O43" s="22" t="n"/>
      <c r="P43" s="22" t="n"/>
      <c r="Q43" s="31">
        <f>IF(OR($A43="",$C43=""),"",SUMIFS('Datos diario'!$E:$E,'Datos diario'!$C:$C,$C43,'Datos diario'!$B:$B,$A43-WEEKDAY($A43,3)))</f>
        <v/>
      </c>
      <c r="R43" s="32">
        <f>IF(OR($A43="",$C43=""),"",IFERROR(SUMIFS('Datos diario'!$F:$F,'Datos diario'!$C:$C,$C43,'Datos diario'!$B:$B,$A43-WEEKDAY($A43,3))/(SUMIFS('Datos diario'!$F:$F,'Datos diario'!$C:$C,$C43,'Datos diario'!$B:$B,$A43-WEEKDAY($A43,3))+SUMIFS('Datos diario'!$G:$G,'Datos diario'!$C:$C,$C43,'Datos diario'!$B:$B,$A43-WEEKDAY($A43,3))),""))</f>
        <v/>
      </c>
      <c r="S43" s="31">
        <f>IF(OR($A43="",$C43=""),"",SUMIFS('Datos diario'!$I:$I,'Datos diario'!$C:$C,$C43,'Datos diario'!$B:$B,$A43-WEEKDAY($A43,3)))</f>
        <v/>
      </c>
      <c r="T43" s="31">
        <f>IF(OR($A43="",$C43=""),"",SUMIFS('Datos diario'!$P:$P,'Datos diario'!$C:$C,$C43,'Datos diario'!$B:$B,$A43-WEEKDAY($A43,3)))</f>
        <v/>
      </c>
      <c r="U43" s="31">
        <f>IF(OR($A43="",$C43=""),"",ROUND(SUMIFS('Datos diario'!$U:$U,'Datos diario'!$C:$C,$C43,'Datos diario'!$B:$B,$A43-WEEKDAY($A43,3)),0))</f>
        <v/>
      </c>
      <c r="V43" s="30">
        <f>IF(OR($A43="",$C43=""),"",IFERROR(ROUND(AVERAGEIFS('Datos diario'!$M:$M,'Datos diario'!$C:$C,$C43,'Datos diario'!$B:$B,$A43-WEEKDAY($A43,3),'Datos diario'!$L:$L,"&gt;0"),1),""))</f>
        <v/>
      </c>
    </row>
    <row r="44">
      <c r="A44" s="26" t="n"/>
      <c r="B44" s="22" t="n"/>
      <c r="C44" s="23">
        <f>IF(B44="","",IFERROR(INDEX(Perfil!$B$6:$B$17,MATCH(B44,Perfil!$A$6:$A$17,0)),""))</f>
        <v/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30">
        <f>IF(COUNT(D44:K44)=0,"",AVERAGE(D44:K44))</f>
        <v/>
      </c>
      <c r="M44" s="22" t="n"/>
      <c r="N44" s="22" t="n"/>
      <c r="O44" s="22" t="n"/>
      <c r="P44" s="22" t="n"/>
      <c r="Q44" s="31">
        <f>IF(OR($A44="",$C44=""),"",SUMIFS('Datos diario'!$E:$E,'Datos diario'!$C:$C,$C44,'Datos diario'!$B:$B,$A44-WEEKDAY($A44,3)))</f>
        <v/>
      </c>
      <c r="R44" s="32">
        <f>IF(OR($A44="",$C44=""),"",IFERROR(SUMIFS('Datos diario'!$F:$F,'Datos diario'!$C:$C,$C44,'Datos diario'!$B:$B,$A44-WEEKDAY($A44,3))/(SUMIFS('Datos diario'!$F:$F,'Datos diario'!$C:$C,$C44,'Datos diario'!$B:$B,$A44-WEEKDAY($A44,3))+SUMIFS('Datos diario'!$G:$G,'Datos diario'!$C:$C,$C44,'Datos diario'!$B:$B,$A44-WEEKDAY($A44,3))),""))</f>
        <v/>
      </c>
      <c r="S44" s="31">
        <f>IF(OR($A44="",$C44=""),"",SUMIFS('Datos diario'!$I:$I,'Datos diario'!$C:$C,$C44,'Datos diario'!$B:$B,$A44-WEEKDAY($A44,3)))</f>
        <v/>
      </c>
      <c r="T44" s="31">
        <f>IF(OR($A44="",$C44=""),"",SUMIFS('Datos diario'!$P:$P,'Datos diario'!$C:$C,$C44,'Datos diario'!$B:$B,$A44-WEEKDAY($A44,3)))</f>
        <v/>
      </c>
      <c r="U44" s="31">
        <f>IF(OR($A44="",$C44=""),"",ROUND(SUMIFS('Datos diario'!$U:$U,'Datos diario'!$C:$C,$C44,'Datos diario'!$B:$B,$A44-WEEKDAY($A44,3)),0))</f>
        <v/>
      </c>
      <c r="V44" s="30">
        <f>IF(OR($A44="",$C44=""),"",IFERROR(ROUND(AVERAGEIFS('Datos diario'!$M:$M,'Datos diario'!$C:$C,$C44,'Datos diario'!$B:$B,$A44-WEEKDAY($A44,3),'Datos diario'!$L:$L,"&gt;0"),1),""))</f>
        <v/>
      </c>
    </row>
    <row r="45">
      <c r="A45" s="26" t="n"/>
      <c r="B45" s="22" t="n"/>
      <c r="C45" s="23">
        <f>IF(B45="","",IFERROR(INDEX(Perfil!$B$6:$B$17,MATCH(B45,Perfil!$A$6:$A$17,0)),""))</f>
        <v/>
      </c>
      <c r="D45" s="22" t="n"/>
      <c r="E45" s="22" t="n"/>
      <c r="F45" s="22" t="n"/>
      <c r="G45" s="22" t="n"/>
      <c r="H45" s="22" t="n"/>
      <c r="I45" s="22" t="n"/>
      <c r="J45" s="22" t="n"/>
      <c r="K45" s="22" t="n"/>
      <c r="L45" s="30">
        <f>IF(COUNT(D45:K45)=0,"",AVERAGE(D45:K45))</f>
        <v/>
      </c>
      <c r="M45" s="22" t="n"/>
      <c r="N45" s="22" t="n"/>
      <c r="O45" s="22" t="n"/>
      <c r="P45" s="22" t="n"/>
      <c r="Q45" s="31">
        <f>IF(OR($A45="",$C45=""),"",SUMIFS('Datos diario'!$E:$E,'Datos diario'!$C:$C,$C45,'Datos diario'!$B:$B,$A45-WEEKDAY($A45,3)))</f>
        <v/>
      </c>
      <c r="R45" s="32">
        <f>IF(OR($A45="",$C45=""),"",IFERROR(SUMIFS('Datos diario'!$F:$F,'Datos diario'!$C:$C,$C45,'Datos diario'!$B:$B,$A45-WEEKDAY($A45,3))/(SUMIFS('Datos diario'!$F:$F,'Datos diario'!$C:$C,$C45,'Datos diario'!$B:$B,$A45-WEEKDAY($A45,3))+SUMIFS('Datos diario'!$G:$G,'Datos diario'!$C:$C,$C45,'Datos diario'!$B:$B,$A45-WEEKDAY($A45,3))),""))</f>
        <v/>
      </c>
      <c r="S45" s="31">
        <f>IF(OR($A45="",$C45=""),"",SUMIFS('Datos diario'!$I:$I,'Datos diario'!$C:$C,$C45,'Datos diario'!$B:$B,$A45-WEEKDAY($A45,3)))</f>
        <v/>
      </c>
      <c r="T45" s="31">
        <f>IF(OR($A45="",$C45=""),"",SUMIFS('Datos diario'!$P:$P,'Datos diario'!$C:$C,$C45,'Datos diario'!$B:$B,$A45-WEEKDAY($A45,3)))</f>
        <v/>
      </c>
      <c r="U45" s="31">
        <f>IF(OR($A45="",$C45=""),"",ROUND(SUMIFS('Datos diario'!$U:$U,'Datos diario'!$C:$C,$C45,'Datos diario'!$B:$B,$A45-WEEKDAY($A45,3)),0))</f>
        <v/>
      </c>
      <c r="V45" s="30">
        <f>IF(OR($A45="",$C45=""),"",IFERROR(ROUND(AVERAGEIFS('Datos diario'!$M:$M,'Datos diario'!$C:$C,$C45,'Datos diario'!$B:$B,$A45-WEEKDAY($A45,3),'Datos diario'!$L:$L,"&gt;0"),1),""))</f>
        <v/>
      </c>
    </row>
    <row r="46">
      <c r="A46" s="26" t="n"/>
      <c r="B46" s="22" t="n"/>
      <c r="C46" s="23">
        <f>IF(B46="","",IFERROR(INDEX(Perfil!$B$6:$B$17,MATCH(B46,Perfil!$A$6:$A$17,0)),""))</f>
        <v/>
      </c>
      <c r="D46" s="22" t="n"/>
      <c r="E46" s="22" t="n"/>
      <c r="F46" s="22" t="n"/>
      <c r="G46" s="22" t="n"/>
      <c r="H46" s="22" t="n"/>
      <c r="I46" s="22" t="n"/>
      <c r="J46" s="22" t="n"/>
      <c r="K46" s="22" t="n"/>
      <c r="L46" s="30">
        <f>IF(COUNT(D46:K46)=0,"",AVERAGE(D46:K46))</f>
        <v/>
      </c>
      <c r="M46" s="22" t="n"/>
      <c r="N46" s="22" t="n"/>
      <c r="O46" s="22" t="n"/>
      <c r="P46" s="22" t="n"/>
      <c r="Q46" s="31">
        <f>IF(OR($A46="",$C46=""),"",SUMIFS('Datos diario'!$E:$E,'Datos diario'!$C:$C,$C46,'Datos diario'!$B:$B,$A46-WEEKDAY($A46,3)))</f>
        <v/>
      </c>
      <c r="R46" s="32">
        <f>IF(OR($A46="",$C46=""),"",IFERROR(SUMIFS('Datos diario'!$F:$F,'Datos diario'!$C:$C,$C46,'Datos diario'!$B:$B,$A46-WEEKDAY($A46,3))/(SUMIFS('Datos diario'!$F:$F,'Datos diario'!$C:$C,$C46,'Datos diario'!$B:$B,$A46-WEEKDAY($A46,3))+SUMIFS('Datos diario'!$G:$G,'Datos diario'!$C:$C,$C46,'Datos diario'!$B:$B,$A46-WEEKDAY($A46,3))),""))</f>
        <v/>
      </c>
      <c r="S46" s="31">
        <f>IF(OR($A46="",$C46=""),"",SUMIFS('Datos diario'!$I:$I,'Datos diario'!$C:$C,$C46,'Datos diario'!$B:$B,$A46-WEEKDAY($A46,3)))</f>
        <v/>
      </c>
      <c r="T46" s="31">
        <f>IF(OR($A46="",$C46=""),"",SUMIFS('Datos diario'!$P:$P,'Datos diario'!$C:$C,$C46,'Datos diario'!$B:$B,$A46-WEEKDAY($A46,3)))</f>
        <v/>
      </c>
      <c r="U46" s="31">
        <f>IF(OR($A46="",$C46=""),"",ROUND(SUMIFS('Datos diario'!$U:$U,'Datos diario'!$C:$C,$C46,'Datos diario'!$B:$B,$A46-WEEKDAY($A46,3)),0))</f>
        <v/>
      </c>
      <c r="V46" s="30">
        <f>IF(OR($A46="",$C46=""),"",IFERROR(ROUND(AVERAGEIFS('Datos diario'!$M:$M,'Datos diario'!$C:$C,$C46,'Datos diario'!$B:$B,$A46-WEEKDAY($A46,3),'Datos diario'!$L:$L,"&gt;0"),1),""))</f>
        <v/>
      </c>
    </row>
    <row r="47">
      <c r="A47" s="26" t="n"/>
      <c r="B47" s="22" t="n"/>
      <c r="C47" s="23">
        <f>IF(B47="","",IFERROR(INDEX(Perfil!$B$6:$B$17,MATCH(B47,Perfil!$A$6:$A$17,0)),""))</f>
        <v/>
      </c>
      <c r="D47" s="22" t="n"/>
      <c r="E47" s="22" t="n"/>
      <c r="F47" s="22" t="n"/>
      <c r="G47" s="22" t="n"/>
      <c r="H47" s="22" t="n"/>
      <c r="I47" s="22" t="n"/>
      <c r="J47" s="22" t="n"/>
      <c r="K47" s="22" t="n"/>
      <c r="L47" s="30">
        <f>IF(COUNT(D47:K47)=0,"",AVERAGE(D47:K47))</f>
        <v/>
      </c>
      <c r="M47" s="22" t="n"/>
      <c r="N47" s="22" t="n"/>
      <c r="O47" s="22" t="n"/>
      <c r="P47" s="22" t="n"/>
      <c r="Q47" s="31">
        <f>IF(OR($A47="",$C47=""),"",SUMIFS('Datos diario'!$E:$E,'Datos diario'!$C:$C,$C47,'Datos diario'!$B:$B,$A47-WEEKDAY($A47,3)))</f>
        <v/>
      </c>
      <c r="R47" s="32">
        <f>IF(OR($A47="",$C47=""),"",IFERROR(SUMIFS('Datos diario'!$F:$F,'Datos diario'!$C:$C,$C47,'Datos diario'!$B:$B,$A47-WEEKDAY($A47,3))/(SUMIFS('Datos diario'!$F:$F,'Datos diario'!$C:$C,$C47,'Datos diario'!$B:$B,$A47-WEEKDAY($A47,3))+SUMIFS('Datos diario'!$G:$G,'Datos diario'!$C:$C,$C47,'Datos diario'!$B:$B,$A47-WEEKDAY($A47,3))),""))</f>
        <v/>
      </c>
      <c r="S47" s="31">
        <f>IF(OR($A47="",$C47=""),"",SUMIFS('Datos diario'!$I:$I,'Datos diario'!$C:$C,$C47,'Datos diario'!$B:$B,$A47-WEEKDAY($A47,3)))</f>
        <v/>
      </c>
      <c r="T47" s="31">
        <f>IF(OR($A47="",$C47=""),"",SUMIFS('Datos diario'!$P:$P,'Datos diario'!$C:$C,$C47,'Datos diario'!$B:$B,$A47-WEEKDAY($A47,3)))</f>
        <v/>
      </c>
      <c r="U47" s="31">
        <f>IF(OR($A47="",$C47=""),"",ROUND(SUMIFS('Datos diario'!$U:$U,'Datos diario'!$C:$C,$C47,'Datos diario'!$B:$B,$A47-WEEKDAY($A47,3)),0))</f>
        <v/>
      </c>
      <c r="V47" s="30">
        <f>IF(OR($A47="",$C47=""),"",IFERROR(ROUND(AVERAGEIFS('Datos diario'!$M:$M,'Datos diario'!$C:$C,$C47,'Datos diario'!$B:$B,$A47-WEEKDAY($A47,3),'Datos diario'!$L:$L,"&gt;0"),1),""))</f>
        <v/>
      </c>
    </row>
    <row r="48">
      <c r="A48" s="26" t="n"/>
      <c r="B48" s="22" t="n"/>
      <c r="C48" s="23">
        <f>IF(B48="","",IFERROR(INDEX(Perfil!$B$6:$B$17,MATCH(B48,Perfil!$A$6:$A$17,0)),""))</f>
        <v/>
      </c>
      <c r="D48" s="22" t="n"/>
      <c r="E48" s="22" t="n"/>
      <c r="F48" s="22" t="n"/>
      <c r="G48" s="22" t="n"/>
      <c r="H48" s="22" t="n"/>
      <c r="I48" s="22" t="n"/>
      <c r="J48" s="22" t="n"/>
      <c r="K48" s="22" t="n"/>
      <c r="L48" s="30">
        <f>IF(COUNT(D48:K48)=0,"",AVERAGE(D48:K48))</f>
        <v/>
      </c>
      <c r="M48" s="22" t="n"/>
      <c r="N48" s="22" t="n"/>
      <c r="O48" s="22" t="n"/>
      <c r="P48" s="22" t="n"/>
      <c r="Q48" s="31">
        <f>IF(OR($A48="",$C48=""),"",SUMIFS('Datos diario'!$E:$E,'Datos diario'!$C:$C,$C48,'Datos diario'!$B:$B,$A48-WEEKDAY($A48,3)))</f>
        <v/>
      </c>
      <c r="R48" s="32">
        <f>IF(OR($A48="",$C48=""),"",IFERROR(SUMIFS('Datos diario'!$F:$F,'Datos diario'!$C:$C,$C48,'Datos diario'!$B:$B,$A48-WEEKDAY($A48,3))/(SUMIFS('Datos diario'!$F:$F,'Datos diario'!$C:$C,$C48,'Datos diario'!$B:$B,$A48-WEEKDAY($A48,3))+SUMIFS('Datos diario'!$G:$G,'Datos diario'!$C:$C,$C48,'Datos diario'!$B:$B,$A48-WEEKDAY($A48,3))),""))</f>
        <v/>
      </c>
      <c r="S48" s="31">
        <f>IF(OR($A48="",$C48=""),"",SUMIFS('Datos diario'!$I:$I,'Datos diario'!$C:$C,$C48,'Datos diario'!$B:$B,$A48-WEEKDAY($A48,3)))</f>
        <v/>
      </c>
      <c r="T48" s="31">
        <f>IF(OR($A48="",$C48=""),"",SUMIFS('Datos diario'!$P:$P,'Datos diario'!$C:$C,$C48,'Datos diario'!$B:$B,$A48-WEEKDAY($A48,3)))</f>
        <v/>
      </c>
      <c r="U48" s="31">
        <f>IF(OR($A48="",$C48=""),"",ROUND(SUMIFS('Datos diario'!$U:$U,'Datos diario'!$C:$C,$C48,'Datos diario'!$B:$B,$A48-WEEKDAY($A48,3)),0))</f>
        <v/>
      </c>
      <c r="V48" s="30">
        <f>IF(OR($A48="",$C48=""),"",IFERROR(ROUND(AVERAGEIFS('Datos diario'!$M:$M,'Datos diario'!$C:$C,$C48,'Datos diario'!$B:$B,$A48-WEEKDAY($A48,3),'Datos diario'!$L:$L,"&gt;0"),1),""))</f>
        <v/>
      </c>
    </row>
    <row r="49">
      <c r="A49" s="26" t="n"/>
      <c r="B49" s="22" t="n"/>
      <c r="C49" s="23">
        <f>IF(B49="","",IFERROR(INDEX(Perfil!$B$6:$B$17,MATCH(B49,Perfil!$A$6:$A$17,0)),""))</f>
        <v/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30">
        <f>IF(COUNT(D49:K49)=0,"",AVERAGE(D49:K49))</f>
        <v/>
      </c>
      <c r="M49" s="22" t="n"/>
      <c r="N49" s="22" t="n"/>
      <c r="O49" s="22" t="n"/>
      <c r="P49" s="22" t="n"/>
      <c r="Q49" s="31">
        <f>IF(OR($A49="",$C49=""),"",SUMIFS('Datos diario'!$E:$E,'Datos diario'!$C:$C,$C49,'Datos diario'!$B:$B,$A49-WEEKDAY($A49,3)))</f>
        <v/>
      </c>
      <c r="R49" s="32">
        <f>IF(OR($A49="",$C49=""),"",IFERROR(SUMIFS('Datos diario'!$F:$F,'Datos diario'!$C:$C,$C49,'Datos diario'!$B:$B,$A49-WEEKDAY($A49,3))/(SUMIFS('Datos diario'!$F:$F,'Datos diario'!$C:$C,$C49,'Datos diario'!$B:$B,$A49-WEEKDAY($A49,3))+SUMIFS('Datos diario'!$G:$G,'Datos diario'!$C:$C,$C49,'Datos diario'!$B:$B,$A49-WEEKDAY($A49,3))),""))</f>
        <v/>
      </c>
      <c r="S49" s="31">
        <f>IF(OR($A49="",$C49=""),"",SUMIFS('Datos diario'!$I:$I,'Datos diario'!$C:$C,$C49,'Datos diario'!$B:$B,$A49-WEEKDAY($A49,3)))</f>
        <v/>
      </c>
      <c r="T49" s="31">
        <f>IF(OR($A49="",$C49=""),"",SUMIFS('Datos diario'!$P:$P,'Datos diario'!$C:$C,$C49,'Datos diario'!$B:$B,$A49-WEEKDAY($A49,3)))</f>
        <v/>
      </c>
      <c r="U49" s="31">
        <f>IF(OR($A49="",$C49=""),"",ROUND(SUMIFS('Datos diario'!$U:$U,'Datos diario'!$C:$C,$C49,'Datos diario'!$B:$B,$A49-WEEKDAY($A49,3)),0))</f>
        <v/>
      </c>
      <c r="V49" s="30">
        <f>IF(OR($A49="",$C49=""),"",IFERROR(ROUND(AVERAGEIFS('Datos diario'!$M:$M,'Datos diario'!$C:$C,$C49,'Datos diario'!$B:$B,$A49-WEEKDAY($A49,3),'Datos diario'!$L:$L,"&gt;0"),1),""))</f>
        <v/>
      </c>
    </row>
    <row r="50">
      <c r="A50" s="26" t="n"/>
      <c r="B50" s="22" t="n"/>
      <c r="C50" s="23">
        <f>IF(B50="","",IFERROR(INDEX(Perfil!$B$6:$B$17,MATCH(B50,Perfil!$A$6:$A$17,0)),""))</f>
        <v/>
      </c>
      <c r="D50" s="22" t="n"/>
      <c r="E50" s="22" t="n"/>
      <c r="F50" s="22" t="n"/>
      <c r="G50" s="22" t="n"/>
      <c r="H50" s="22" t="n"/>
      <c r="I50" s="22" t="n"/>
      <c r="J50" s="22" t="n"/>
      <c r="K50" s="22" t="n"/>
      <c r="L50" s="30">
        <f>IF(COUNT(D50:K50)=0,"",AVERAGE(D50:K50))</f>
        <v/>
      </c>
      <c r="M50" s="22" t="n"/>
      <c r="N50" s="22" t="n"/>
      <c r="O50" s="22" t="n"/>
      <c r="P50" s="22" t="n"/>
      <c r="Q50" s="31">
        <f>IF(OR($A50="",$C50=""),"",SUMIFS('Datos diario'!$E:$E,'Datos diario'!$C:$C,$C50,'Datos diario'!$B:$B,$A50-WEEKDAY($A50,3)))</f>
        <v/>
      </c>
      <c r="R50" s="32">
        <f>IF(OR($A50="",$C50=""),"",IFERROR(SUMIFS('Datos diario'!$F:$F,'Datos diario'!$C:$C,$C50,'Datos diario'!$B:$B,$A50-WEEKDAY($A50,3))/(SUMIFS('Datos diario'!$F:$F,'Datos diario'!$C:$C,$C50,'Datos diario'!$B:$B,$A50-WEEKDAY($A50,3))+SUMIFS('Datos diario'!$G:$G,'Datos diario'!$C:$C,$C50,'Datos diario'!$B:$B,$A50-WEEKDAY($A50,3))),""))</f>
        <v/>
      </c>
      <c r="S50" s="31">
        <f>IF(OR($A50="",$C50=""),"",SUMIFS('Datos diario'!$I:$I,'Datos diario'!$C:$C,$C50,'Datos diario'!$B:$B,$A50-WEEKDAY($A50,3)))</f>
        <v/>
      </c>
      <c r="T50" s="31">
        <f>IF(OR($A50="",$C50=""),"",SUMIFS('Datos diario'!$P:$P,'Datos diario'!$C:$C,$C50,'Datos diario'!$B:$B,$A50-WEEKDAY($A50,3)))</f>
        <v/>
      </c>
      <c r="U50" s="31">
        <f>IF(OR($A50="",$C50=""),"",ROUND(SUMIFS('Datos diario'!$U:$U,'Datos diario'!$C:$C,$C50,'Datos diario'!$B:$B,$A50-WEEKDAY($A50,3)),0))</f>
        <v/>
      </c>
      <c r="V50" s="30">
        <f>IF(OR($A50="",$C50=""),"",IFERROR(ROUND(AVERAGEIFS('Datos diario'!$M:$M,'Datos diario'!$C:$C,$C50,'Datos diario'!$B:$B,$A50-WEEKDAY($A50,3),'Datos diario'!$L:$L,"&gt;0"),1),""))</f>
        <v/>
      </c>
    </row>
    <row r="51">
      <c r="A51" s="26" t="n"/>
      <c r="B51" s="22" t="n"/>
      <c r="C51" s="23">
        <f>IF(B51="","",IFERROR(INDEX(Perfil!$B$6:$B$17,MATCH(B51,Perfil!$A$6:$A$17,0)),""))</f>
        <v/>
      </c>
      <c r="D51" s="22" t="n"/>
      <c r="E51" s="22" t="n"/>
      <c r="F51" s="22" t="n"/>
      <c r="G51" s="22" t="n"/>
      <c r="H51" s="22" t="n"/>
      <c r="I51" s="22" t="n"/>
      <c r="J51" s="22" t="n"/>
      <c r="K51" s="22" t="n"/>
      <c r="L51" s="30">
        <f>IF(COUNT(D51:K51)=0,"",AVERAGE(D51:K51))</f>
        <v/>
      </c>
      <c r="M51" s="22" t="n"/>
      <c r="N51" s="22" t="n"/>
      <c r="O51" s="22" t="n"/>
      <c r="P51" s="22" t="n"/>
      <c r="Q51" s="31">
        <f>IF(OR($A51="",$C51=""),"",SUMIFS('Datos diario'!$E:$E,'Datos diario'!$C:$C,$C51,'Datos diario'!$B:$B,$A51-WEEKDAY($A51,3)))</f>
        <v/>
      </c>
      <c r="R51" s="32">
        <f>IF(OR($A51="",$C51=""),"",IFERROR(SUMIFS('Datos diario'!$F:$F,'Datos diario'!$C:$C,$C51,'Datos diario'!$B:$B,$A51-WEEKDAY($A51,3))/(SUMIFS('Datos diario'!$F:$F,'Datos diario'!$C:$C,$C51,'Datos diario'!$B:$B,$A51-WEEKDAY($A51,3))+SUMIFS('Datos diario'!$G:$G,'Datos diario'!$C:$C,$C51,'Datos diario'!$B:$B,$A51-WEEKDAY($A51,3))),""))</f>
        <v/>
      </c>
      <c r="S51" s="31">
        <f>IF(OR($A51="",$C51=""),"",SUMIFS('Datos diario'!$I:$I,'Datos diario'!$C:$C,$C51,'Datos diario'!$B:$B,$A51-WEEKDAY($A51,3)))</f>
        <v/>
      </c>
      <c r="T51" s="31">
        <f>IF(OR($A51="",$C51=""),"",SUMIFS('Datos diario'!$P:$P,'Datos diario'!$C:$C,$C51,'Datos diario'!$B:$B,$A51-WEEKDAY($A51,3)))</f>
        <v/>
      </c>
      <c r="U51" s="31">
        <f>IF(OR($A51="",$C51=""),"",ROUND(SUMIFS('Datos diario'!$U:$U,'Datos diario'!$C:$C,$C51,'Datos diario'!$B:$B,$A51-WEEKDAY($A51,3)),0))</f>
        <v/>
      </c>
      <c r="V51" s="30">
        <f>IF(OR($A51="",$C51=""),"",IFERROR(ROUND(AVERAGEIFS('Datos diario'!$M:$M,'Datos diario'!$C:$C,$C51,'Datos diario'!$B:$B,$A51-WEEKDAY($A51,3),'Datos diario'!$L:$L,"&gt;0"),1),""))</f>
        <v/>
      </c>
    </row>
    <row r="52">
      <c r="A52" s="26" t="n"/>
      <c r="B52" s="22" t="n"/>
      <c r="C52" s="23">
        <f>IF(B52="","",IFERROR(INDEX(Perfil!$B$6:$B$17,MATCH(B52,Perfil!$A$6:$A$17,0)),""))</f>
        <v/>
      </c>
      <c r="D52" s="22" t="n"/>
      <c r="E52" s="22" t="n"/>
      <c r="F52" s="22" t="n"/>
      <c r="G52" s="22" t="n"/>
      <c r="H52" s="22" t="n"/>
      <c r="I52" s="22" t="n"/>
      <c r="J52" s="22" t="n"/>
      <c r="K52" s="22" t="n"/>
      <c r="L52" s="30">
        <f>IF(COUNT(D52:K52)=0,"",AVERAGE(D52:K52))</f>
        <v/>
      </c>
      <c r="M52" s="22" t="n"/>
      <c r="N52" s="22" t="n"/>
      <c r="O52" s="22" t="n"/>
      <c r="P52" s="22" t="n"/>
      <c r="Q52" s="31">
        <f>IF(OR($A52="",$C52=""),"",SUMIFS('Datos diario'!$E:$E,'Datos diario'!$C:$C,$C52,'Datos diario'!$B:$B,$A52-WEEKDAY($A52,3)))</f>
        <v/>
      </c>
      <c r="R52" s="32">
        <f>IF(OR($A52="",$C52=""),"",IFERROR(SUMIFS('Datos diario'!$F:$F,'Datos diario'!$C:$C,$C52,'Datos diario'!$B:$B,$A52-WEEKDAY($A52,3))/(SUMIFS('Datos diario'!$F:$F,'Datos diario'!$C:$C,$C52,'Datos diario'!$B:$B,$A52-WEEKDAY($A52,3))+SUMIFS('Datos diario'!$G:$G,'Datos diario'!$C:$C,$C52,'Datos diario'!$B:$B,$A52-WEEKDAY($A52,3))),""))</f>
        <v/>
      </c>
      <c r="S52" s="31">
        <f>IF(OR($A52="",$C52=""),"",SUMIFS('Datos diario'!$I:$I,'Datos diario'!$C:$C,$C52,'Datos diario'!$B:$B,$A52-WEEKDAY($A52,3)))</f>
        <v/>
      </c>
      <c r="T52" s="31">
        <f>IF(OR($A52="",$C52=""),"",SUMIFS('Datos diario'!$P:$P,'Datos diario'!$C:$C,$C52,'Datos diario'!$B:$B,$A52-WEEKDAY($A52,3)))</f>
        <v/>
      </c>
      <c r="U52" s="31">
        <f>IF(OR($A52="",$C52=""),"",ROUND(SUMIFS('Datos diario'!$U:$U,'Datos diario'!$C:$C,$C52,'Datos diario'!$B:$B,$A52-WEEKDAY($A52,3)),0))</f>
        <v/>
      </c>
      <c r="V52" s="30">
        <f>IF(OR($A52="",$C52=""),"",IFERROR(ROUND(AVERAGEIFS('Datos diario'!$M:$M,'Datos diario'!$C:$C,$C52,'Datos diario'!$B:$B,$A52-WEEKDAY($A52,3),'Datos diario'!$L:$L,"&gt;0"),1),""))</f>
        <v/>
      </c>
    </row>
    <row r="53">
      <c r="A53" s="26" t="n"/>
      <c r="B53" s="22" t="n"/>
      <c r="C53" s="23">
        <f>IF(B53="","",IFERROR(INDEX(Perfil!$B$6:$B$17,MATCH(B53,Perfil!$A$6:$A$17,0)),""))</f>
        <v/>
      </c>
      <c r="D53" s="22" t="n"/>
      <c r="E53" s="22" t="n"/>
      <c r="F53" s="22" t="n"/>
      <c r="G53" s="22" t="n"/>
      <c r="H53" s="22" t="n"/>
      <c r="I53" s="22" t="n"/>
      <c r="J53" s="22" t="n"/>
      <c r="K53" s="22" t="n"/>
      <c r="L53" s="30">
        <f>IF(COUNT(D53:K53)=0,"",AVERAGE(D53:K53))</f>
        <v/>
      </c>
      <c r="M53" s="22" t="n"/>
      <c r="N53" s="22" t="n"/>
      <c r="O53" s="22" t="n"/>
      <c r="P53" s="22" t="n"/>
      <c r="Q53" s="31">
        <f>IF(OR($A53="",$C53=""),"",SUMIFS('Datos diario'!$E:$E,'Datos diario'!$C:$C,$C53,'Datos diario'!$B:$B,$A53-WEEKDAY($A53,3)))</f>
        <v/>
      </c>
      <c r="R53" s="32">
        <f>IF(OR($A53="",$C53=""),"",IFERROR(SUMIFS('Datos diario'!$F:$F,'Datos diario'!$C:$C,$C53,'Datos diario'!$B:$B,$A53-WEEKDAY($A53,3))/(SUMIFS('Datos diario'!$F:$F,'Datos diario'!$C:$C,$C53,'Datos diario'!$B:$B,$A53-WEEKDAY($A53,3))+SUMIFS('Datos diario'!$G:$G,'Datos diario'!$C:$C,$C53,'Datos diario'!$B:$B,$A53-WEEKDAY($A53,3))),""))</f>
        <v/>
      </c>
      <c r="S53" s="31">
        <f>IF(OR($A53="",$C53=""),"",SUMIFS('Datos diario'!$I:$I,'Datos diario'!$C:$C,$C53,'Datos diario'!$B:$B,$A53-WEEKDAY($A53,3)))</f>
        <v/>
      </c>
      <c r="T53" s="31">
        <f>IF(OR($A53="",$C53=""),"",SUMIFS('Datos diario'!$P:$P,'Datos diario'!$C:$C,$C53,'Datos diario'!$B:$B,$A53-WEEKDAY($A53,3)))</f>
        <v/>
      </c>
      <c r="U53" s="31">
        <f>IF(OR($A53="",$C53=""),"",ROUND(SUMIFS('Datos diario'!$U:$U,'Datos diario'!$C:$C,$C53,'Datos diario'!$B:$B,$A53-WEEKDAY($A53,3)),0))</f>
        <v/>
      </c>
      <c r="V53" s="30">
        <f>IF(OR($A53="",$C53=""),"",IFERROR(ROUND(AVERAGEIFS('Datos diario'!$M:$M,'Datos diario'!$C:$C,$C53,'Datos diario'!$B:$B,$A53-WEEKDAY($A53,3),'Datos diario'!$L:$L,"&gt;0"),1),""))</f>
        <v/>
      </c>
    </row>
    <row r="54">
      <c r="A54" s="26" t="n"/>
      <c r="B54" s="22" t="n"/>
      <c r="C54" s="23">
        <f>IF(B54="","",IFERROR(INDEX(Perfil!$B$6:$B$17,MATCH(B54,Perfil!$A$6:$A$17,0)),""))</f>
        <v/>
      </c>
      <c r="D54" s="22" t="n"/>
      <c r="E54" s="22" t="n"/>
      <c r="F54" s="22" t="n"/>
      <c r="G54" s="22" t="n"/>
      <c r="H54" s="22" t="n"/>
      <c r="I54" s="22" t="n"/>
      <c r="J54" s="22" t="n"/>
      <c r="K54" s="22" t="n"/>
      <c r="L54" s="30">
        <f>IF(COUNT(D54:K54)=0,"",AVERAGE(D54:K54))</f>
        <v/>
      </c>
      <c r="M54" s="22" t="n"/>
      <c r="N54" s="22" t="n"/>
      <c r="O54" s="22" t="n"/>
      <c r="P54" s="22" t="n"/>
      <c r="Q54" s="31">
        <f>IF(OR($A54="",$C54=""),"",SUMIFS('Datos diario'!$E:$E,'Datos diario'!$C:$C,$C54,'Datos diario'!$B:$B,$A54-WEEKDAY($A54,3)))</f>
        <v/>
      </c>
      <c r="R54" s="32">
        <f>IF(OR($A54="",$C54=""),"",IFERROR(SUMIFS('Datos diario'!$F:$F,'Datos diario'!$C:$C,$C54,'Datos diario'!$B:$B,$A54-WEEKDAY($A54,3))/(SUMIFS('Datos diario'!$F:$F,'Datos diario'!$C:$C,$C54,'Datos diario'!$B:$B,$A54-WEEKDAY($A54,3))+SUMIFS('Datos diario'!$G:$G,'Datos diario'!$C:$C,$C54,'Datos diario'!$B:$B,$A54-WEEKDAY($A54,3))),""))</f>
        <v/>
      </c>
      <c r="S54" s="31">
        <f>IF(OR($A54="",$C54=""),"",SUMIFS('Datos diario'!$I:$I,'Datos diario'!$C:$C,$C54,'Datos diario'!$B:$B,$A54-WEEKDAY($A54,3)))</f>
        <v/>
      </c>
      <c r="T54" s="31">
        <f>IF(OR($A54="",$C54=""),"",SUMIFS('Datos diario'!$P:$P,'Datos diario'!$C:$C,$C54,'Datos diario'!$B:$B,$A54-WEEKDAY($A54,3)))</f>
        <v/>
      </c>
      <c r="U54" s="31">
        <f>IF(OR($A54="",$C54=""),"",ROUND(SUMIFS('Datos diario'!$U:$U,'Datos diario'!$C:$C,$C54,'Datos diario'!$B:$B,$A54-WEEKDAY($A54,3)),0))</f>
        <v/>
      </c>
      <c r="V54" s="30">
        <f>IF(OR($A54="",$C54=""),"",IFERROR(ROUND(AVERAGEIFS('Datos diario'!$M:$M,'Datos diario'!$C:$C,$C54,'Datos diario'!$B:$B,$A54-WEEKDAY($A54,3),'Datos diario'!$L:$L,"&gt;0"),1),""))</f>
        <v/>
      </c>
    </row>
    <row r="55">
      <c r="A55" s="26" t="n"/>
      <c r="B55" s="22" t="n"/>
      <c r="C55" s="23">
        <f>IF(B55="","",IFERROR(INDEX(Perfil!$B$6:$B$17,MATCH(B55,Perfil!$A$6:$A$17,0)),""))</f>
        <v/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30">
        <f>IF(COUNT(D55:K55)=0,"",AVERAGE(D55:K55))</f>
        <v/>
      </c>
      <c r="M55" s="22" t="n"/>
      <c r="N55" s="22" t="n"/>
      <c r="O55" s="22" t="n"/>
      <c r="P55" s="22" t="n"/>
      <c r="Q55" s="31">
        <f>IF(OR($A55="",$C55=""),"",SUMIFS('Datos diario'!$E:$E,'Datos diario'!$C:$C,$C55,'Datos diario'!$B:$B,$A55-WEEKDAY($A55,3)))</f>
        <v/>
      </c>
      <c r="R55" s="32">
        <f>IF(OR($A55="",$C55=""),"",IFERROR(SUMIFS('Datos diario'!$F:$F,'Datos diario'!$C:$C,$C55,'Datos diario'!$B:$B,$A55-WEEKDAY($A55,3))/(SUMIFS('Datos diario'!$F:$F,'Datos diario'!$C:$C,$C55,'Datos diario'!$B:$B,$A55-WEEKDAY($A55,3))+SUMIFS('Datos diario'!$G:$G,'Datos diario'!$C:$C,$C55,'Datos diario'!$B:$B,$A55-WEEKDAY($A55,3))),""))</f>
        <v/>
      </c>
      <c r="S55" s="31">
        <f>IF(OR($A55="",$C55=""),"",SUMIFS('Datos diario'!$I:$I,'Datos diario'!$C:$C,$C55,'Datos diario'!$B:$B,$A55-WEEKDAY($A55,3)))</f>
        <v/>
      </c>
      <c r="T55" s="31">
        <f>IF(OR($A55="",$C55=""),"",SUMIFS('Datos diario'!$P:$P,'Datos diario'!$C:$C,$C55,'Datos diario'!$B:$B,$A55-WEEKDAY($A55,3)))</f>
        <v/>
      </c>
      <c r="U55" s="31">
        <f>IF(OR($A55="",$C55=""),"",ROUND(SUMIFS('Datos diario'!$U:$U,'Datos diario'!$C:$C,$C55,'Datos diario'!$B:$B,$A55-WEEKDAY($A55,3)),0))</f>
        <v/>
      </c>
      <c r="V55" s="30">
        <f>IF(OR($A55="",$C55=""),"",IFERROR(ROUND(AVERAGEIFS('Datos diario'!$M:$M,'Datos diario'!$C:$C,$C55,'Datos diario'!$B:$B,$A55-WEEKDAY($A55,3),'Datos diario'!$L:$L,"&gt;0"),1),""))</f>
        <v/>
      </c>
    </row>
    <row r="56">
      <c r="A56" s="26" t="n"/>
      <c r="B56" s="22" t="n"/>
      <c r="C56" s="23">
        <f>IF(B56="","",IFERROR(INDEX(Perfil!$B$6:$B$17,MATCH(B56,Perfil!$A$6:$A$17,0)),""))</f>
        <v/>
      </c>
      <c r="D56" s="22" t="n"/>
      <c r="E56" s="22" t="n"/>
      <c r="F56" s="22" t="n"/>
      <c r="G56" s="22" t="n"/>
      <c r="H56" s="22" t="n"/>
      <c r="I56" s="22" t="n"/>
      <c r="J56" s="22" t="n"/>
      <c r="K56" s="22" t="n"/>
      <c r="L56" s="30">
        <f>IF(COUNT(D56:K56)=0,"",AVERAGE(D56:K56))</f>
        <v/>
      </c>
      <c r="M56" s="22" t="n"/>
      <c r="N56" s="22" t="n"/>
      <c r="O56" s="22" t="n"/>
      <c r="P56" s="22" t="n"/>
      <c r="Q56" s="31">
        <f>IF(OR($A56="",$C56=""),"",SUMIFS('Datos diario'!$E:$E,'Datos diario'!$C:$C,$C56,'Datos diario'!$B:$B,$A56-WEEKDAY($A56,3)))</f>
        <v/>
      </c>
      <c r="R56" s="32">
        <f>IF(OR($A56="",$C56=""),"",IFERROR(SUMIFS('Datos diario'!$F:$F,'Datos diario'!$C:$C,$C56,'Datos diario'!$B:$B,$A56-WEEKDAY($A56,3))/(SUMIFS('Datos diario'!$F:$F,'Datos diario'!$C:$C,$C56,'Datos diario'!$B:$B,$A56-WEEKDAY($A56,3))+SUMIFS('Datos diario'!$G:$G,'Datos diario'!$C:$C,$C56,'Datos diario'!$B:$B,$A56-WEEKDAY($A56,3))),""))</f>
        <v/>
      </c>
      <c r="S56" s="31">
        <f>IF(OR($A56="",$C56=""),"",SUMIFS('Datos diario'!$I:$I,'Datos diario'!$C:$C,$C56,'Datos diario'!$B:$B,$A56-WEEKDAY($A56,3)))</f>
        <v/>
      </c>
      <c r="T56" s="31">
        <f>IF(OR($A56="",$C56=""),"",SUMIFS('Datos diario'!$P:$P,'Datos diario'!$C:$C,$C56,'Datos diario'!$B:$B,$A56-WEEKDAY($A56,3)))</f>
        <v/>
      </c>
      <c r="U56" s="31">
        <f>IF(OR($A56="",$C56=""),"",ROUND(SUMIFS('Datos diario'!$U:$U,'Datos diario'!$C:$C,$C56,'Datos diario'!$B:$B,$A56-WEEKDAY($A56,3)),0))</f>
        <v/>
      </c>
      <c r="V56" s="30">
        <f>IF(OR($A56="",$C56=""),"",IFERROR(ROUND(AVERAGEIFS('Datos diario'!$M:$M,'Datos diario'!$C:$C,$C56,'Datos diario'!$B:$B,$A56-WEEKDAY($A56,3),'Datos diario'!$L:$L,"&gt;0"),1),""))</f>
        <v/>
      </c>
    </row>
    <row r="57">
      <c r="A57" s="26" t="n"/>
      <c r="B57" s="22" t="n"/>
      <c r="C57" s="23">
        <f>IF(B57="","",IFERROR(INDEX(Perfil!$B$6:$B$17,MATCH(B57,Perfil!$A$6:$A$17,0)),""))</f>
        <v/>
      </c>
      <c r="D57" s="22" t="n"/>
      <c r="E57" s="22" t="n"/>
      <c r="F57" s="22" t="n"/>
      <c r="G57" s="22" t="n"/>
      <c r="H57" s="22" t="n"/>
      <c r="I57" s="22" t="n"/>
      <c r="J57" s="22" t="n"/>
      <c r="K57" s="22" t="n"/>
      <c r="L57" s="30">
        <f>IF(COUNT(D57:K57)=0,"",AVERAGE(D57:K57))</f>
        <v/>
      </c>
      <c r="M57" s="22" t="n"/>
      <c r="N57" s="22" t="n"/>
      <c r="O57" s="22" t="n"/>
      <c r="P57" s="22" t="n"/>
      <c r="Q57" s="31">
        <f>IF(OR($A57="",$C57=""),"",SUMIFS('Datos diario'!$E:$E,'Datos diario'!$C:$C,$C57,'Datos diario'!$B:$B,$A57-WEEKDAY($A57,3)))</f>
        <v/>
      </c>
      <c r="R57" s="32">
        <f>IF(OR($A57="",$C57=""),"",IFERROR(SUMIFS('Datos diario'!$F:$F,'Datos diario'!$C:$C,$C57,'Datos diario'!$B:$B,$A57-WEEKDAY($A57,3))/(SUMIFS('Datos diario'!$F:$F,'Datos diario'!$C:$C,$C57,'Datos diario'!$B:$B,$A57-WEEKDAY($A57,3))+SUMIFS('Datos diario'!$G:$G,'Datos diario'!$C:$C,$C57,'Datos diario'!$B:$B,$A57-WEEKDAY($A57,3))),""))</f>
        <v/>
      </c>
      <c r="S57" s="31">
        <f>IF(OR($A57="",$C57=""),"",SUMIFS('Datos diario'!$I:$I,'Datos diario'!$C:$C,$C57,'Datos diario'!$B:$B,$A57-WEEKDAY($A57,3)))</f>
        <v/>
      </c>
      <c r="T57" s="31">
        <f>IF(OR($A57="",$C57=""),"",SUMIFS('Datos diario'!$P:$P,'Datos diario'!$C:$C,$C57,'Datos diario'!$B:$B,$A57-WEEKDAY($A57,3)))</f>
        <v/>
      </c>
      <c r="U57" s="31">
        <f>IF(OR($A57="",$C57=""),"",ROUND(SUMIFS('Datos diario'!$U:$U,'Datos diario'!$C:$C,$C57,'Datos diario'!$B:$B,$A57-WEEKDAY($A57,3)),0))</f>
        <v/>
      </c>
      <c r="V57" s="30">
        <f>IF(OR($A57="",$C57=""),"",IFERROR(ROUND(AVERAGEIFS('Datos diario'!$M:$M,'Datos diario'!$C:$C,$C57,'Datos diario'!$B:$B,$A57-WEEKDAY($A57,3),'Datos diario'!$L:$L,"&gt;0"),1),""))</f>
        <v/>
      </c>
    </row>
    <row r="58">
      <c r="A58" s="26" t="n"/>
      <c r="B58" s="22" t="n"/>
      <c r="C58" s="23">
        <f>IF(B58="","",IFERROR(INDEX(Perfil!$B$6:$B$17,MATCH(B58,Perfil!$A$6:$A$17,0)),""))</f>
        <v/>
      </c>
      <c r="D58" s="22" t="n"/>
      <c r="E58" s="22" t="n"/>
      <c r="F58" s="22" t="n"/>
      <c r="G58" s="22" t="n"/>
      <c r="H58" s="22" t="n"/>
      <c r="I58" s="22" t="n"/>
      <c r="J58" s="22" t="n"/>
      <c r="K58" s="22" t="n"/>
      <c r="L58" s="30">
        <f>IF(COUNT(D58:K58)=0,"",AVERAGE(D58:K58))</f>
        <v/>
      </c>
      <c r="M58" s="22" t="n"/>
      <c r="N58" s="22" t="n"/>
      <c r="O58" s="22" t="n"/>
      <c r="P58" s="22" t="n"/>
      <c r="Q58" s="31">
        <f>IF(OR($A58="",$C58=""),"",SUMIFS('Datos diario'!$E:$E,'Datos diario'!$C:$C,$C58,'Datos diario'!$B:$B,$A58-WEEKDAY($A58,3)))</f>
        <v/>
      </c>
      <c r="R58" s="32">
        <f>IF(OR($A58="",$C58=""),"",IFERROR(SUMIFS('Datos diario'!$F:$F,'Datos diario'!$C:$C,$C58,'Datos diario'!$B:$B,$A58-WEEKDAY($A58,3))/(SUMIFS('Datos diario'!$F:$F,'Datos diario'!$C:$C,$C58,'Datos diario'!$B:$B,$A58-WEEKDAY($A58,3))+SUMIFS('Datos diario'!$G:$G,'Datos diario'!$C:$C,$C58,'Datos diario'!$B:$B,$A58-WEEKDAY($A58,3))),""))</f>
        <v/>
      </c>
      <c r="S58" s="31">
        <f>IF(OR($A58="",$C58=""),"",SUMIFS('Datos diario'!$I:$I,'Datos diario'!$C:$C,$C58,'Datos diario'!$B:$B,$A58-WEEKDAY($A58,3)))</f>
        <v/>
      </c>
      <c r="T58" s="31">
        <f>IF(OR($A58="",$C58=""),"",SUMIFS('Datos diario'!$P:$P,'Datos diario'!$C:$C,$C58,'Datos diario'!$B:$B,$A58-WEEKDAY($A58,3)))</f>
        <v/>
      </c>
      <c r="U58" s="31">
        <f>IF(OR($A58="",$C58=""),"",ROUND(SUMIFS('Datos diario'!$U:$U,'Datos diario'!$C:$C,$C58,'Datos diario'!$B:$B,$A58-WEEKDAY($A58,3)),0))</f>
        <v/>
      </c>
      <c r="V58" s="30">
        <f>IF(OR($A58="",$C58=""),"",IFERROR(ROUND(AVERAGEIFS('Datos diario'!$M:$M,'Datos diario'!$C:$C,$C58,'Datos diario'!$B:$B,$A58-WEEKDAY($A58,3),'Datos diario'!$L:$L,"&gt;0"),1),""))</f>
        <v/>
      </c>
    </row>
    <row r="59">
      <c r="A59" s="26" t="n"/>
      <c r="B59" s="22" t="n"/>
      <c r="C59" s="23">
        <f>IF(B59="","",IFERROR(INDEX(Perfil!$B$6:$B$17,MATCH(B59,Perfil!$A$6:$A$17,0)),""))</f>
        <v/>
      </c>
      <c r="D59" s="22" t="n"/>
      <c r="E59" s="22" t="n"/>
      <c r="F59" s="22" t="n"/>
      <c r="G59" s="22" t="n"/>
      <c r="H59" s="22" t="n"/>
      <c r="I59" s="22" t="n"/>
      <c r="J59" s="22" t="n"/>
      <c r="K59" s="22" t="n"/>
      <c r="L59" s="30">
        <f>IF(COUNT(D59:K59)=0,"",AVERAGE(D59:K59))</f>
        <v/>
      </c>
      <c r="M59" s="22" t="n"/>
      <c r="N59" s="22" t="n"/>
      <c r="O59" s="22" t="n"/>
      <c r="P59" s="22" t="n"/>
      <c r="Q59" s="31">
        <f>IF(OR($A59="",$C59=""),"",SUMIFS('Datos diario'!$E:$E,'Datos diario'!$C:$C,$C59,'Datos diario'!$B:$B,$A59-WEEKDAY($A59,3)))</f>
        <v/>
      </c>
      <c r="R59" s="32">
        <f>IF(OR($A59="",$C59=""),"",IFERROR(SUMIFS('Datos diario'!$F:$F,'Datos diario'!$C:$C,$C59,'Datos diario'!$B:$B,$A59-WEEKDAY($A59,3))/(SUMIFS('Datos diario'!$F:$F,'Datos diario'!$C:$C,$C59,'Datos diario'!$B:$B,$A59-WEEKDAY($A59,3))+SUMIFS('Datos diario'!$G:$G,'Datos diario'!$C:$C,$C59,'Datos diario'!$B:$B,$A59-WEEKDAY($A59,3))),""))</f>
        <v/>
      </c>
      <c r="S59" s="31">
        <f>IF(OR($A59="",$C59=""),"",SUMIFS('Datos diario'!$I:$I,'Datos diario'!$C:$C,$C59,'Datos diario'!$B:$B,$A59-WEEKDAY($A59,3)))</f>
        <v/>
      </c>
      <c r="T59" s="31">
        <f>IF(OR($A59="",$C59=""),"",SUMIFS('Datos diario'!$P:$P,'Datos diario'!$C:$C,$C59,'Datos diario'!$B:$B,$A59-WEEKDAY($A59,3)))</f>
        <v/>
      </c>
      <c r="U59" s="31">
        <f>IF(OR($A59="",$C59=""),"",ROUND(SUMIFS('Datos diario'!$U:$U,'Datos diario'!$C:$C,$C59,'Datos diario'!$B:$B,$A59-WEEKDAY($A59,3)),0))</f>
        <v/>
      </c>
      <c r="V59" s="30">
        <f>IF(OR($A59="",$C59=""),"",IFERROR(ROUND(AVERAGEIFS('Datos diario'!$M:$M,'Datos diario'!$C:$C,$C59,'Datos diario'!$B:$B,$A59-WEEKDAY($A59,3),'Datos diario'!$L:$L,"&gt;0"),1),""))</f>
        <v/>
      </c>
    </row>
    <row r="60">
      <c r="A60" s="26" t="n"/>
      <c r="B60" s="22" t="n"/>
      <c r="C60" s="23">
        <f>IF(B60="","",IFERROR(INDEX(Perfil!$B$6:$B$17,MATCH(B60,Perfil!$A$6:$A$17,0)),""))</f>
        <v/>
      </c>
      <c r="D60" s="22" t="n"/>
      <c r="E60" s="22" t="n"/>
      <c r="F60" s="22" t="n"/>
      <c r="G60" s="22" t="n"/>
      <c r="H60" s="22" t="n"/>
      <c r="I60" s="22" t="n"/>
      <c r="J60" s="22" t="n"/>
      <c r="K60" s="22" t="n"/>
      <c r="L60" s="30">
        <f>IF(COUNT(D60:K60)=0,"",AVERAGE(D60:K60))</f>
        <v/>
      </c>
      <c r="M60" s="22" t="n"/>
      <c r="N60" s="22" t="n"/>
      <c r="O60" s="22" t="n"/>
      <c r="P60" s="22" t="n"/>
      <c r="Q60" s="31">
        <f>IF(OR($A60="",$C60=""),"",SUMIFS('Datos diario'!$E:$E,'Datos diario'!$C:$C,$C60,'Datos diario'!$B:$B,$A60-WEEKDAY($A60,3)))</f>
        <v/>
      </c>
      <c r="R60" s="32">
        <f>IF(OR($A60="",$C60=""),"",IFERROR(SUMIFS('Datos diario'!$F:$F,'Datos diario'!$C:$C,$C60,'Datos diario'!$B:$B,$A60-WEEKDAY($A60,3))/(SUMIFS('Datos diario'!$F:$F,'Datos diario'!$C:$C,$C60,'Datos diario'!$B:$B,$A60-WEEKDAY($A60,3))+SUMIFS('Datos diario'!$G:$G,'Datos diario'!$C:$C,$C60,'Datos diario'!$B:$B,$A60-WEEKDAY($A60,3))),""))</f>
        <v/>
      </c>
      <c r="S60" s="31">
        <f>IF(OR($A60="",$C60=""),"",SUMIFS('Datos diario'!$I:$I,'Datos diario'!$C:$C,$C60,'Datos diario'!$B:$B,$A60-WEEKDAY($A60,3)))</f>
        <v/>
      </c>
      <c r="T60" s="31">
        <f>IF(OR($A60="",$C60=""),"",SUMIFS('Datos diario'!$P:$P,'Datos diario'!$C:$C,$C60,'Datos diario'!$B:$B,$A60-WEEKDAY($A60,3)))</f>
        <v/>
      </c>
      <c r="U60" s="31">
        <f>IF(OR($A60="",$C60=""),"",ROUND(SUMIFS('Datos diario'!$U:$U,'Datos diario'!$C:$C,$C60,'Datos diario'!$B:$B,$A60-WEEKDAY($A60,3)),0))</f>
        <v/>
      </c>
      <c r="V60" s="30">
        <f>IF(OR($A60="",$C60=""),"",IFERROR(ROUND(AVERAGEIFS('Datos diario'!$M:$M,'Datos diario'!$C:$C,$C60,'Datos diario'!$B:$B,$A60-WEEKDAY($A60,3),'Datos diario'!$L:$L,"&gt;0"),1),""))</f>
        <v/>
      </c>
    </row>
    <row r="61">
      <c r="A61" s="26" t="n"/>
      <c r="B61" s="22" t="n"/>
      <c r="C61" s="23">
        <f>IF(B61="","",IFERROR(INDEX(Perfil!$B$6:$B$17,MATCH(B61,Perfil!$A$6:$A$17,0)),""))</f>
        <v/>
      </c>
      <c r="D61" s="22" t="n"/>
      <c r="E61" s="22" t="n"/>
      <c r="F61" s="22" t="n"/>
      <c r="G61" s="22" t="n"/>
      <c r="H61" s="22" t="n"/>
      <c r="I61" s="22" t="n"/>
      <c r="J61" s="22" t="n"/>
      <c r="K61" s="22" t="n"/>
      <c r="L61" s="30">
        <f>IF(COUNT(D61:K61)=0,"",AVERAGE(D61:K61))</f>
        <v/>
      </c>
      <c r="M61" s="22" t="n"/>
      <c r="N61" s="22" t="n"/>
      <c r="O61" s="22" t="n"/>
      <c r="P61" s="22" t="n"/>
      <c r="Q61" s="31">
        <f>IF(OR($A61="",$C61=""),"",SUMIFS('Datos diario'!$E:$E,'Datos diario'!$C:$C,$C61,'Datos diario'!$B:$B,$A61-WEEKDAY($A61,3)))</f>
        <v/>
      </c>
      <c r="R61" s="32">
        <f>IF(OR($A61="",$C61=""),"",IFERROR(SUMIFS('Datos diario'!$F:$F,'Datos diario'!$C:$C,$C61,'Datos diario'!$B:$B,$A61-WEEKDAY($A61,3))/(SUMIFS('Datos diario'!$F:$F,'Datos diario'!$C:$C,$C61,'Datos diario'!$B:$B,$A61-WEEKDAY($A61,3))+SUMIFS('Datos diario'!$G:$G,'Datos diario'!$C:$C,$C61,'Datos diario'!$B:$B,$A61-WEEKDAY($A61,3))),""))</f>
        <v/>
      </c>
      <c r="S61" s="31">
        <f>IF(OR($A61="",$C61=""),"",SUMIFS('Datos diario'!$I:$I,'Datos diario'!$C:$C,$C61,'Datos diario'!$B:$B,$A61-WEEKDAY($A61,3)))</f>
        <v/>
      </c>
      <c r="T61" s="31">
        <f>IF(OR($A61="",$C61=""),"",SUMIFS('Datos diario'!$P:$P,'Datos diario'!$C:$C,$C61,'Datos diario'!$B:$B,$A61-WEEKDAY($A61,3)))</f>
        <v/>
      </c>
      <c r="U61" s="31">
        <f>IF(OR($A61="",$C61=""),"",ROUND(SUMIFS('Datos diario'!$U:$U,'Datos diario'!$C:$C,$C61,'Datos diario'!$B:$B,$A61-WEEKDAY($A61,3)),0))</f>
        <v/>
      </c>
      <c r="V61" s="30">
        <f>IF(OR($A61="",$C61=""),"",IFERROR(ROUND(AVERAGEIFS('Datos diario'!$M:$M,'Datos diario'!$C:$C,$C61,'Datos diario'!$B:$B,$A61-WEEKDAY($A61,3),'Datos diario'!$L:$L,"&gt;0"),1),""))</f>
        <v/>
      </c>
    </row>
    <row r="62">
      <c r="A62" s="26" t="n"/>
      <c r="B62" s="22" t="n"/>
      <c r="C62" s="23">
        <f>IF(B62="","",IFERROR(INDEX(Perfil!$B$6:$B$17,MATCH(B62,Perfil!$A$6:$A$17,0)),""))</f>
        <v/>
      </c>
      <c r="D62" s="22" t="n"/>
      <c r="E62" s="22" t="n"/>
      <c r="F62" s="22" t="n"/>
      <c r="G62" s="22" t="n"/>
      <c r="H62" s="22" t="n"/>
      <c r="I62" s="22" t="n"/>
      <c r="J62" s="22" t="n"/>
      <c r="K62" s="22" t="n"/>
      <c r="L62" s="30">
        <f>IF(COUNT(D62:K62)=0,"",AVERAGE(D62:K62))</f>
        <v/>
      </c>
      <c r="M62" s="22" t="n"/>
      <c r="N62" s="22" t="n"/>
      <c r="O62" s="22" t="n"/>
      <c r="P62" s="22" t="n"/>
      <c r="Q62" s="31">
        <f>IF(OR($A62="",$C62=""),"",SUMIFS('Datos diario'!$E:$E,'Datos diario'!$C:$C,$C62,'Datos diario'!$B:$B,$A62-WEEKDAY($A62,3)))</f>
        <v/>
      </c>
      <c r="R62" s="32">
        <f>IF(OR($A62="",$C62=""),"",IFERROR(SUMIFS('Datos diario'!$F:$F,'Datos diario'!$C:$C,$C62,'Datos diario'!$B:$B,$A62-WEEKDAY($A62,3))/(SUMIFS('Datos diario'!$F:$F,'Datos diario'!$C:$C,$C62,'Datos diario'!$B:$B,$A62-WEEKDAY($A62,3))+SUMIFS('Datos diario'!$G:$G,'Datos diario'!$C:$C,$C62,'Datos diario'!$B:$B,$A62-WEEKDAY($A62,3))),""))</f>
        <v/>
      </c>
      <c r="S62" s="31">
        <f>IF(OR($A62="",$C62=""),"",SUMIFS('Datos diario'!$I:$I,'Datos diario'!$C:$C,$C62,'Datos diario'!$B:$B,$A62-WEEKDAY($A62,3)))</f>
        <v/>
      </c>
      <c r="T62" s="31">
        <f>IF(OR($A62="",$C62=""),"",SUMIFS('Datos diario'!$P:$P,'Datos diario'!$C:$C,$C62,'Datos diario'!$B:$B,$A62-WEEKDAY($A62,3)))</f>
        <v/>
      </c>
      <c r="U62" s="31">
        <f>IF(OR($A62="",$C62=""),"",ROUND(SUMIFS('Datos diario'!$U:$U,'Datos diario'!$C:$C,$C62,'Datos diario'!$B:$B,$A62-WEEKDAY($A62,3)),0))</f>
        <v/>
      </c>
      <c r="V62" s="30">
        <f>IF(OR($A62="",$C62=""),"",IFERROR(ROUND(AVERAGEIFS('Datos diario'!$M:$M,'Datos diario'!$C:$C,$C62,'Datos diario'!$B:$B,$A62-WEEKDAY($A62,3),'Datos diario'!$L:$L,"&gt;0"),1),""))</f>
        <v/>
      </c>
    </row>
    <row r="63">
      <c r="A63" s="26" t="n"/>
      <c r="B63" s="22" t="n"/>
      <c r="C63" s="23">
        <f>IF(B63="","",IFERROR(INDEX(Perfil!$B$6:$B$17,MATCH(B63,Perfil!$A$6:$A$17,0)),""))</f>
        <v/>
      </c>
      <c r="D63" s="22" t="n"/>
      <c r="E63" s="22" t="n"/>
      <c r="F63" s="22" t="n"/>
      <c r="G63" s="22" t="n"/>
      <c r="H63" s="22" t="n"/>
      <c r="I63" s="22" t="n"/>
      <c r="J63" s="22" t="n"/>
      <c r="K63" s="22" t="n"/>
      <c r="L63" s="30">
        <f>IF(COUNT(D63:K63)=0,"",AVERAGE(D63:K63))</f>
        <v/>
      </c>
      <c r="M63" s="22" t="n"/>
      <c r="N63" s="22" t="n"/>
      <c r="O63" s="22" t="n"/>
      <c r="P63" s="22" t="n"/>
      <c r="Q63" s="31">
        <f>IF(OR($A63="",$C63=""),"",SUMIFS('Datos diario'!$E:$E,'Datos diario'!$C:$C,$C63,'Datos diario'!$B:$B,$A63-WEEKDAY($A63,3)))</f>
        <v/>
      </c>
      <c r="R63" s="32">
        <f>IF(OR($A63="",$C63=""),"",IFERROR(SUMIFS('Datos diario'!$F:$F,'Datos diario'!$C:$C,$C63,'Datos diario'!$B:$B,$A63-WEEKDAY($A63,3))/(SUMIFS('Datos diario'!$F:$F,'Datos diario'!$C:$C,$C63,'Datos diario'!$B:$B,$A63-WEEKDAY($A63,3))+SUMIFS('Datos diario'!$G:$G,'Datos diario'!$C:$C,$C63,'Datos diario'!$B:$B,$A63-WEEKDAY($A63,3))),""))</f>
        <v/>
      </c>
      <c r="S63" s="31">
        <f>IF(OR($A63="",$C63=""),"",SUMIFS('Datos diario'!$I:$I,'Datos diario'!$C:$C,$C63,'Datos diario'!$B:$B,$A63-WEEKDAY($A63,3)))</f>
        <v/>
      </c>
      <c r="T63" s="31">
        <f>IF(OR($A63="",$C63=""),"",SUMIFS('Datos diario'!$P:$P,'Datos diario'!$C:$C,$C63,'Datos diario'!$B:$B,$A63-WEEKDAY($A63,3)))</f>
        <v/>
      </c>
      <c r="U63" s="31">
        <f>IF(OR($A63="",$C63=""),"",ROUND(SUMIFS('Datos diario'!$U:$U,'Datos diario'!$C:$C,$C63,'Datos diario'!$B:$B,$A63-WEEKDAY($A63,3)),0))</f>
        <v/>
      </c>
      <c r="V63" s="30">
        <f>IF(OR($A63="",$C63=""),"",IFERROR(ROUND(AVERAGEIFS('Datos diario'!$M:$M,'Datos diario'!$C:$C,$C63,'Datos diario'!$B:$B,$A63-WEEKDAY($A63,3),'Datos diario'!$L:$L,"&gt;0"),1),""))</f>
        <v/>
      </c>
    </row>
    <row r="64">
      <c r="A64" s="26" t="n"/>
      <c r="B64" s="22" t="n"/>
      <c r="C64" s="23">
        <f>IF(B64="","",IFERROR(INDEX(Perfil!$B$6:$B$17,MATCH(B64,Perfil!$A$6:$A$17,0)),""))</f>
        <v/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30">
        <f>IF(COUNT(D64:K64)=0,"",AVERAGE(D64:K64))</f>
        <v/>
      </c>
      <c r="M64" s="22" t="n"/>
      <c r="N64" s="22" t="n"/>
      <c r="O64" s="22" t="n"/>
      <c r="P64" s="22" t="n"/>
      <c r="Q64" s="31">
        <f>IF(OR($A64="",$C64=""),"",SUMIFS('Datos diario'!$E:$E,'Datos diario'!$C:$C,$C64,'Datos diario'!$B:$B,$A64-WEEKDAY($A64,3)))</f>
        <v/>
      </c>
      <c r="R64" s="32">
        <f>IF(OR($A64="",$C64=""),"",IFERROR(SUMIFS('Datos diario'!$F:$F,'Datos diario'!$C:$C,$C64,'Datos diario'!$B:$B,$A64-WEEKDAY($A64,3))/(SUMIFS('Datos diario'!$F:$F,'Datos diario'!$C:$C,$C64,'Datos diario'!$B:$B,$A64-WEEKDAY($A64,3))+SUMIFS('Datos diario'!$G:$G,'Datos diario'!$C:$C,$C64,'Datos diario'!$B:$B,$A64-WEEKDAY($A64,3))),""))</f>
        <v/>
      </c>
      <c r="S64" s="31">
        <f>IF(OR($A64="",$C64=""),"",SUMIFS('Datos diario'!$I:$I,'Datos diario'!$C:$C,$C64,'Datos diario'!$B:$B,$A64-WEEKDAY($A64,3)))</f>
        <v/>
      </c>
      <c r="T64" s="31">
        <f>IF(OR($A64="",$C64=""),"",SUMIFS('Datos diario'!$P:$P,'Datos diario'!$C:$C,$C64,'Datos diario'!$B:$B,$A64-WEEKDAY($A64,3)))</f>
        <v/>
      </c>
      <c r="U64" s="31">
        <f>IF(OR($A64="",$C64=""),"",ROUND(SUMIFS('Datos diario'!$U:$U,'Datos diario'!$C:$C,$C64,'Datos diario'!$B:$B,$A64-WEEKDAY($A64,3)),0))</f>
        <v/>
      </c>
      <c r="V64" s="30">
        <f>IF(OR($A64="",$C64=""),"",IFERROR(ROUND(AVERAGEIFS('Datos diario'!$M:$M,'Datos diario'!$C:$C,$C64,'Datos diario'!$B:$B,$A64-WEEKDAY($A64,3),'Datos diario'!$L:$L,"&gt;0"),1),""))</f>
        <v/>
      </c>
    </row>
    <row r="65">
      <c r="A65" s="26" t="n"/>
      <c r="B65" s="22" t="n"/>
      <c r="C65" s="23">
        <f>IF(B65="","",IFERROR(INDEX(Perfil!$B$6:$B$17,MATCH(B65,Perfil!$A$6:$A$17,0)),""))</f>
        <v/>
      </c>
      <c r="D65" s="22" t="n"/>
      <c r="E65" s="22" t="n"/>
      <c r="F65" s="22" t="n"/>
      <c r="G65" s="22" t="n"/>
      <c r="H65" s="22" t="n"/>
      <c r="I65" s="22" t="n"/>
      <c r="J65" s="22" t="n"/>
      <c r="K65" s="22" t="n"/>
      <c r="L65" s="30">
        <f>IF(COUNT(D65:K65)=0,"",AVERAGE(D65:K65))</f>
        <v/>
      </c>
      <c r="M65" s="22" t="n"/>
      <c r="N65" s="22" t="n"/>
      <c r="O65" s="22" t="n"/>
      <c r="P65" s="22" t="n"/>
      <c r="Q65" s="31">
        <f>IF(OR($A65="",$C65=""),"",SUMIFS('Datos diario'!$E:$E,'Datos diario'!$C:$C,$C65,'Datos diario'!$B:$B,$A65-WEEKDAY($A65,3)))</f>
        <v/>
      </c>
      <c r="R65" s="32">
        <f>IF(OR($A65="",$C65=""),"",IFERROR(SUMIFS('Datos diario'!$F:$F,'Datos diario'!$C:$C,$C65,'Datos diario'!$B:$B,$A65-WEEKDAY($A65,3))/(SUMIFS('Datos diario'!$F:$F,'Datos diario'!$C:$C,$C65,'Datos diario'!$B:$B,$A65-WEEKDAY($A65,3))+SUMIFS('Datos diario'!$G:$G,'Datos diario'!$C:$C,$C65,'Datos diario'!$B:$B,$A65-WEEKDAY($A65,3))),""))</f>
        <v/>
      </c>
      <c r="S65" s="31">
        <f>IF(OR($A65="",$C65=""),"",SUMIFS('Datos diario'!$I:$I,'Datos diario'!$C:$C,$C65,'Datos diario'!$B:$B,$A65-WEEKDAY($A65,3)))</f>
        <v/>
      </c>
      <c r="T65" s="31">
        <f>IF(OR($A65="",$C65=""),"",SUMIFS('Datos diario'!$P:$P,'Datos diario'!$C:$C,$C65,'Datos diario'!$B:$B,$A65-WEEKDAY($A65,3)))</f>
        <v/>
      </c>
      <c r="U65" s="31">
        <f>IF(OR($A65="",$C65=""),"",ROUND(SUMIFS('Datos diario'!$U:$U,'Datos diario'!$C:$C,$C65,'Datos diario'!$B:$B,$A65-WEEKDAY($A65,3)),0))</f>
        <v/>
      </c>
      <c r="V65" s="30">
        <f>IF(OR($A65="",$C65=""),"",IFERROR(ROUND(AVERAGEIFS('Datos diario'!$M:$M,'Datos diario'!$C:$C,$C65,'Datos diario'!$B:$B,$A65-WEEKDAY($A65,3),'Datos diario'!$L:$L,"&gt;0"),1),""))</f>
        <v/>
      </c>
    </row>
    <row r="66">
      <c r="A66" s="26" t="n"/>
      <c r="B66" s="22" t="n"/>
      <c r="C66" s="23">
        <f>IF(B66="","",IFERROR(INDEX(Perfil!$B$6:$B$17,MATCH(B66,Perfil!$A$6:$A$17,0)),""))</f>
        <v/>
      </c>
      <c r="D66" s="22" t="n"/>
      <c r="E66" s="22" t="n"/>
      <c r="F66" s="22" t="n"/>
      <c r="G66" s="22" t="n"/>
      <c r="H66" s="22" t="n"/>
      <c r="I66" s="22" t="n"/>
      <c r="J66" s="22" t="n"/>
      <c r="K66" s="22" t="n"/>
      <c r="L66" s="30">
        <f>IF(COUNT(D66:K66)=0,"",AVERAGE(D66:K66))</f>
        <v/>
      </c>
      <c r="M66" s="22" t="n"/>
      <c r="N66" s="22" t="n"/>
      <c r="O66" s="22" t="n"/>
      <c r="P66" s="22" t="n"/>
      <c r="Q66" s="31">
        <f>IF(OR($A66="",$C66=""),"",SUMIFS('Datos diario'!$E:$E,'Datos diario'!$C:$C,$C66,'Datos diario'!$B:$B,$A66-WEEKDAY($A66,3)))</f>
        <v/>
      </c>
      <c r="R66" s="32">
        <f>IF(OR($A66="",$C66=""),"",IFERROR(SUMIFS('Datos diario'!$F:$F,'Datos diario'!$C:$C,$C66,'Datos diario'!$B:$B,$A66-WEEKDAY($A66,3))/(SUMIFS('Datos diario'!$F:$F,'Datos diario'!$C:$C,$C66,'Datos diario'!$B:$B,$A66-WEEKDAY($A66,3))+SUMIFS('Datos diario'!$G:$G,'Datos diario'!$C:$C,$C66,'Datos diario'!$B:$B,$A66-WEEKDAY($A66,3))),""))</f>
        <v/>
      </c>
      <c r="S66" s="31">
        <f>IF(OR($A66="",$C66=""),"",SUMIFS('Datos diario'!$I:$I,'Datos diario'!$C:$C,$C66,'Datos diario'!$B:$B,$A66-WEEKDAY($A66,3)))</f>
        <v/>
      </c>
      <c r="T66" s="31">
        <f>IF(OR($A66="",$C66=""),"",SUMIFS('Datos diario'!$P:$P,'Datos diario'!$C:$C,$C66,'Datos diario'!$B:$B,$A66-WEEKDAY($A66,3)))</f>
        <v/>
      </c>
      <c r="U66" s="31">
        <f>IF(OR($A66="",$C66=""),"",ROUND(SUMIFS('Datos diario'!$U:$U,'Datos diario'!$C:$C,$C66,'Datos diario'!$B:$B,$A66-WEEKDAY($A66,3)),0))</f>
        <v/>
      </c>
      <c r="V66" s="30">
        <f>IF(OR($A66="",$C66=""),"",IFERROR(ROUND(AVERAGEIFS('Datos diario'!$M:$M,'Datos diario'!$C:$C,$C66,'Datos diario'!$B:$B,$A66-WEEKDAY($A66,3),'Datos diario'!$L:$L,"&gt;0"),1),""))</f>
        <v/>
      </c>
    </row>
    <row r="67">
      <c r="A67" s="26" t="n"/>
      <c r="B67" s="22" t="n"/>
      <c r="C67" s="23">
        <f>IF(B67="","",IFERROR(INDEX(Perfil!$B$6:$B$17,MATCH(B67,Perfil!$A$6:$A$17,0)),""))</f>
        <v/>
      </c>
      <c r="D67" s="22" t="n"/>
      <c r="E67" s="22" t="n"/>
      <c r="F67" s="22" t="n"/>
      <c r="G67" s="22" t="n"/>
      <c r="H67" s="22" t="n"/>
      <c r="I67" s="22" t="n"/>
      <c r="J67" s="22" t="n"/>
      <c r="K67" s="22" t="n"/>
      <c r="L67" s="30">
        <f>IF(COUNT(D67:K67)=0,"",AVERAGE(D67:K67))</f>
        <v/>
      </c>
      <c r="M67" s="22" t="n"/>
      <c r="N67" s="22" t="n"/>
      <c r="O67" s="22" t="n"/>
      <c r="P67" s="22" t="n"/>
      <c r="Q67" s="31">
        <f>IF(OR($A67="",$C67=""),"",SUMIFS('Datos diario'!$E:$E,'Datos diario'!$C:$C,$C67,'Datos diario'!$B:$B,$A67-WEEKDAY($A67,3)))</f>
        <v/>
      </c>
      <c r="R67" s="32">
        <f>IF(OR($A67="",$C67=""),"",IFERROR(SUMIFS('Datos diario'!$F:$F,'Datos diario'!$C:$C,$C67,'Datos diario'!$B:$B,$A67-WEEKDAY($A67,3))/(SUMIFS('Datos diario'!$F:$F,'Datos diario'!$C:$C,$C67,'Datos diario'!$B:$B,$A67-WEEKDAY($A67,3))+SUMIFS('Datos diario'!$G:$G,'Datos diario'!$C:$C,$C67,'Datos diario'!$B:$B,$A67-WEEKDAY($A67,3))),""))</f>
        <v/>
      </c>
      <c r="S67" s="31">
        <f>IF(OR($A67="",$C67=""),"",SUMIFS('Datos diario'!$I:$I,'Datos diario'!$C:$C,$C67,'Datos diario'!$B:$B,$A67-WEEKDAY($A67,3)))</f>
        <v/>
      </c>
      <c r="T67" s="31">
        <f>IF(OR($A67="",$C67=""),"",SUMIFS('Datos diario'!$P:$P,'Datos diario'!$C:$C,$C67,'Datos diario'!$B:$B,$A67-WEEKDAY($A67,3)))</f>
        <v/>
      </c>
      <c r="U67" s="31">
        <f>IF(OR($A67="",$C67=""),"",ROUND(SUMIFS('Datos diario'!$U:$U,'Datos diario'!$C:$C,$C67,'Datos diario'!$B:$B,$A67-WEEKDAY($A67,3)),0))</f>
        <v/>
      </c>
      <c r="V67" s="30">
        <f>IF(OR($A67="",$C67=""),"",IFERROR(ROUND(AVERAGEIFS('Datos diario'!$M:$M,'Datos diario'!$C:$C,$C67,'Datos diario'!$B:$B,$A67-WEEKDAY($A67,3),'Datos diario'!$L:$L,"&gt;0"),1),""))</f>
        <v/>
      </c>
    </row>
    <row r="68">
      <c r="A68" s="26" t="n"/>
      <c r="B68" s="22" t="n"/>
      <c r="C68" s="23">
        <f>IF(B68="","",IFERROR(INDEX(Perfil!$B$6:$B$17,MATCH(B68,Perfil!$A$6:$A$17,0)),""))</f>
        <v/>
      </c>
      <c r="D68" s="22" t="n"/>
      <c r="E68" s="22" t="n"/>
      <c r="F68" s="22" t="n"/>
      <c r="G68" s="22" t="n"/>
      <c r="H68" s="22" t="n"/>
      <c r="I68" s="22" t="n"/>
      <c r="J68" s="22" t="n"/>
      <c r="K68" s="22" t="n"/>
      <c r="L68" s="30">
        <f>IF(COUNT(D68:K68)=0,"",AVERAGE(D68:K68))</f>
        <v/>
      </c>
      <c r="M68" s="22" t="n"/>
      <c r="N68" s="22" t="n"/>
      <c r="O68" s="22" t="n"/>
      <c r="P68" s="22" t="n"/>
      <c r="Q68" s="31">
        <f>IF(OR($A68="",$C68=""),"",SUMIFS('Datos diario'!$E:$E,'Datos diario'!$C:$C,$C68,'Datos diario'!$B:$B,$A68-WEEKDAY($A68,3)))</f>
        <v/>
      </c>
      <c r="R68" s="32">
        <f>IF(OR($A68="",$C68=""),"",IFERROR(SUMIFS('Datos diario'!$F:$F,'Datos diario'!$C:$C,$C68,'Datos diario'!$B:$B,$A68-WEEKDAY($A68,3))/(SUMIFS('Datos diario'!$F:$F,'Datos diario'!$C:$C,$C68,'Datos diario'!$B:$B,$A68-WEEKDAY($A68,3))+SUMIFS('Datos diario'!$G:$G,'Datos diario'!$C:$C,$C68,'Datos diario'!$B:$B,$A68-WEEKDAY($A68,3))),""))</f>
        <v/>
      </c>
      <c r="S68" s="31">
        <f>IF(OR($A68="",$C68=""),"",SUMIFS('Datos diario'!$I:$I,'Datos diario'!$C:$C,$C68,'Datos diario'!$B:$B,$A68-WEEKDAY($A68,3)))</f>
        <v/>
      </c>
      <c r="T68" s="31">
        <f>IF(OR($A68="",$C68=""),"",SUMIFS('Datos diario'!$P:$P,'Datos diario'!$C:$C,$C68,'Datos diario'!$B:$B,$A68-WEEKDAY($A68,3)))</f>
        <v/>
      </c>
      <c r="U68" s="31">
        <f>IF(OR($A68="",$C68=""),"",ROUND(SUMIFS('Datos diario'!$U:$U,'Datos diario'!$C:$C,$C68,'Datos diario'!$B:$B,$A68-WEEKDAY($A68,3)),0))</f>
        <v/>
      </c>
      <c r="V68" s="30">
        <f>IF(OR($A68="",$C68=""),"",IFERROR(ROUND(AVERAGEIFS('Datos diario'!$M:$M,'Datos diario'!$C:$C,$C68,'Datos diario'!$B:$B,$A68-WEEKDAY($A68,3),'Datos diario'!$L:$L,"&gt;0"),1),""))</f>
        <v/>
      </c>
    </row>
    <row r="69">
      <c r="A69" s="26" t="n"/>
      <c r="B69" s="22" t="n"/>
      <c r="C69" s="23">
        <f>IF(B69="","",IFERROR(INDEX(Perfil!$B$6:$B$17,MATCH(B69,Perfil!$A$6:$A$17,0)),""))</f>
        <v/>
      </c>
      <c r="D69" s="22" t="n"/>
      <c r="E69" s="22" t="n"/>
      <c r="F69" s="22" t="n"/>
      <c r="G69" s="22" t="n"/>
      <c r="H69" s="22" t="n"/>
      <c r="I69" s="22" t="n"/>
      <c r="J69" s="22" t="n"/>
      <c r="K69" s="22" t="n"/>
      <c r="L69" s="30">
        <f>IF(COUNT(D69:K69)=0,"",AVERAGE(D69:K69))</f>
        <v/>
      </c>
      <c r="M69" s="22" t="n"/>
      <c r="N69" s="22" t="n"/>
      <c r="O69" s="22" t="n"/>
      <c r="P69" s="22" t="n"/>
      <c r="Q69" s="31">
        <f>IF(OR($A69="",$C69=""),"",SUMIFS('Datos diario'!$E:$E,'Datos diario'!$C:$C,$C69,'Datos diario'!$B:$B,$A69-WEEKDAY($A69,3)))</f>
        <v/>
      </c>
      <c r="R69" s="32">
        <f>IF(OR($A69="",$C69=""),"",IFERROR(SUMIFS('Datos diario'!$F:$F,'Datos diario'!$C:$C,$C69,'Datos diario'!$B:$B,$A69-WEEKDAY($A69,3))/(SUMIFS('Datos diario'!$F:$F,'Datos diario'!$C:$C,$C69,'Datos diario'!$B:$B,$A69-WEEKDAY($A69,3))+SUMIFS('Datos diario'!$G:$G,'Datos diario'!$C:$C,$C69,'Datos diario'!$B:$B,$A69-WEEKDAY($A69,3))),""))</f>
        <v/>
      </c>
      <c r="S69" s="31">
        <f>IF(OR($A69="",$C69=""),"",SUMIFS('Datos diario'!$I:$I,'Datos diario'!$C:$C,$C69,'Datos diario'!$B:$B,$A69-WEEKDAY($A69,3)))</f>
        <v/>
      </c>
      <c r="T69" s="31">
        <f>IF(OR($A69="",$C69=""),"",SUMIFS('Datos diario'!$P:$P,'Datos diario'!$C:$C,$C69,'Datos diario'!$B:$B,$A69-WEEKDAY($A69,3)))</f>
        <v/>
      </c>
      <c r="U69" s="31">
        <f>IF(OR($A69="",$C69=""),"",ROUND(SUMIFS('Datos diario'!$U:$U,'Datos diario'!$C:$C,$C69,'Datos diario'!$B:$B,$A69-WEEKDAY($A69,3)),0))</f>
        <v/>
      </c>
      <c r="V69" s="30">
        <f>IF(OR($A69="",$C69=""),"",IFERROR(ROUND(AVERAGEIFS('Datos diario'!$M:$M,'Datos diario'!$C:$C,$C69,'Datos diario'!$B:$B,$A69-WEEKDAY($A69,3),'Datos diario'!$L:$L,"&gt;0"),1),""))</f>
        <v/>
      </c>
    </row>
    <row r="70">
      <c r="A70" s="26" t="n"/>
      <c r="B70" s="22" t="n"/>
      <c r="C70" s="23">
        <f>IF(B70="","",IFERROR(INDEX(Perfil!$B$6:$B$17,MATCH(B70,Perfil!$A$6:$A$17,0)),""))</f>
        <v/>
      </c>
      <c r="D70" s="22" t="n"/>
      <c r="E70" s="22" t="n"/>
      <c r="F70" s="22" t="n"/>
      <c r="G70" s="22" t="n"/>
      <c r="H70" s="22" t="n"/>
      <c r="I70" s="22" t="n"/>
      <c r="J70" s="22" t="n"/>
      <c r="K70" s="22" t="n"/>
      <c r="L70" s="30">
        <f>IF(COUNT(D70:K70)=0,"",AVERAGE(D70:K70))</f>
        <v/>
      </c>
      <c r="M70" s="22" t="n"/>
      <c r="N70" s="22" t="n"/>
      <c r="O70" s="22" t="n"/>
      <c r="P70" s="22" t="n"/>
      <c r="Q70" s="31">
        <f>IF(OR($A70="",$C70=""),"",SUMIFS('Datos diario'!$E:$E,'Datos diario'!$C:$C,$C70,'Datos diario'!$B:$B,$A70-WEEKDAY($A70,3)))</f>
        <v/>
      </c>
      <c r="R70" s="32">
        <f>IF(OR($A70="",$C70=""),"",IFERROR(SUMIFS('Datos diario'!$F:$F,'Datos diario'!$C:$C,$C70,'Datos diario'!$B:$B,$A70-WEEKDAY($A70,3))/(SUMIFS('Datos diario'!$F:$F,'Datos diario'!$C:$C,$C70,'Datos diario'!$B:$B,$A70-WEEKDAY($A70,3))+SUMIFS('Datos diario'!$G:$G,'Datos diario'!$C:$C,$C70,'Datos diario'!$B:$B,$A70-WEEKDAY($A70,3))),""))</f>
        <v/>
      </c>
      <c r="S70" s="31">
        <f>IF(OR($A70="",$C70=""),"",SUMIFS('Datos diario'!$I:$I,'Datos diario'!$C:$C,$C70,'Datos diario'!$B:$B,$A70-WEEKDAY($A70,3)))</f>
        <v/>
      </c>
      <c r="T70" s="31">
        <f>IF(OR($A70="",$C70=""),"",SUMIFS('Datos diario'!$P:$P,'Datos diario'!$C:$C,$C70,'Datos diario'!$B:$B,$A70-WEEKDAY($A70,3)))</f>
        <v/>
      </c>
      <c r="U70" s="31">
        <f>IF(OR($A70="",$C70=""),"",ROUND(SUMIFS('Datos diario'!$U:$U,'Datos diario'!$C:$C,$C70,'Datos diario'!$B:$B,$A70-WEEKDAY($A70,3)),0))</f>
        <v/>
      </c>
      <c r="V70" s="30">
        <f>IF(OR($A70="",$C70=""),"",IFERROR(ROUND(AVERAGEIFS('Datos diario'!$M:$M,'Datos diario'!$C:$C,$C70,'Datos diario'!$B:$B,$A70-WEEKDAY($A70,3),'Datos diario'!$L:$L,"&gt;0"),1),""))</f>
        <v/>
      </c>
    </row>
    <row r="71">
      <c r="A71" s="26" t="n"/>
      <c r="B71" s="22" t="n"/>
      <c r="C71" s="23">
        <f>IF(B71="","",IFERROR(INDEX(Perfil!$B$6:$B$17,MATCH(B71,Perfil!$A$6:$A$17,0)),""))</f>
        <v/>
      </c>
      <c r="D71" s="22" t="n"/>
      <c r="E71" s="22" t="n"/>
      <c r="F71" s="22" t="n"/>
      <c r="G71" s="22" t="n"/>
      <c r="H71" s="22" t="n"/>
      <c r="I71" s="22" t="n"/>
      <c r="J71" s="22" t="n"/>
      <c r="K71" s="22" t="n"/>
      <c r="L71" s="30">
        <f>IF(COUNT(D71:K71)=0,"",AVERAGE(D71:K71))</f>
        <v/>
      </c>
      <c r="M71" s="22" t="n"/>
      <c r="N71" s="22" t="n"/>
      <c r="O71" s="22" t="n"/>
      <c r="P71" s="22" t="n"/>
      <c r="Q71" s="31">
        <f>IF(OR($A71="",$C71=""),"",SUMIFS('Datos diario'!$E:$E,'Datos diario'!$C:$C,$C71,'Datos diario'!$B:$B,$A71-WEEKDAY($A71,3)))</f>
        <v/>
      </c>
      <c r="R71" s="32">
        <f>IF(OR($A71="",$C71=""),"",IFERROR(SUMIFS('Datos diario'!$F:$F,'Datos diario'!$C:$C,$C71,'Datos diario'!$B:$B,$A71-WEEKDAY($A71,3))/(SUMIFS('Datos diario'!$F:$F,'Datos diario'!$C:$C,$C71,'Datos diario'!$B:$B,$A71-WEEKDAY($A71,3))+SUMIFS('Datos diario'!$G:$G,'Datos diario'!$C:$C,$C71,'Datos diario'!$B:$B,$A71-WEEKDAY($A71,3))),""))</f>
        <v/>
      </c>
      <c r="S71" s="31">
        <f>IF(OR($A71="",$C71=""),"",SUMIFS('Datos diario'!$I:$I,'Datos diario'!$C:$C,$C71,'Datos diario'!$B:$B,$A71-WEEKDAY($A71,3)))</f>
        <v/>
      </c>
      <c r="T71" s="31">
        <f>IF(OR($A71="",$C71=""),"",SUMIFS('Datos diario'!$P:$P,'Datos diario'!$C:$C,$C71,'Datos diario'!$B:$B,$A71-WEEKDAY($A71,3)))</f>
        <v/>
      </c>
      <c r="U71" s="31">
        <f>IF(OR($A71="",$C71=""),"",ROUND(SUMIFS('Datos diario'!$U:$U,'Datos diario'!$C:$C,$C71,'Datos diario'!$B:$B,$A71-WEEKDAY($A71,3)),0))</f>
        <v/>
      </c>
      <c r="V71" s="30">
        <f>IF(OR($A71="",$C71=""),"",IFERROR(ROUND(AVERAGEIFS('Datos diario'!$M:$M,'Datos diario'!$C:$C,$C71,'Datos diario'!$B:$B,$A71-WEEKDAY($A71,3),'Datos diario'!$L:$L,"&gt;0"),1),""))</f>
        <v/>
      </c>
    </row>
    <row r="72">
      <c r="A72" s="26" t="n"/>
      <c r="B72" s="22" t="n"/>
      <c r="C72" s="23">
        <f>IF(B72="","",IFERROR(INDEX(Perfil!$B$6:$B$17,MATCH(B72,Perfil!$A$6:$A$17,0)),""))</f>
        <v/>
      </c>
      <c r="D72" s="22" t="n"/>
      <c r="E72" s="22" t="n"/>
      <c r="F72" s="22" t="n"/>
      <c r="G72" s="22" t="n"/>
      <c r="H72" s="22" t="n"/>
      <c r="I72" s="22" t="n"/>
      <c r="J72" s="22" t="n"/>
      <c r="K72" s="22" t="n"/>
      <c r="L72" s="30">
        <f>IF(COUNT(D72:K72)=0,"",AVERAGE(D72:K72))</f>
        <v/>
      </c>
      <c r="M72" s="22" t="n"/>
      <c r="N72" s="22" t="n"/>
      <c r="O72" s="22" t="n"/>
      <c r="P72" s="22" t="n"/>
      <c r="Q72" s="31">
        <f>IF(OR($A72="",$C72=""),"",SUMIFS('Datos diario'!$E:$E,'Datos diario'!$C:$C,$C72,'Datos diario'!$B:$B,$A72-WEEKDAY($A72,3)))</f>
        <v/>
      </c>
      <c r="R72" s="32">
        <f>IF(OR($A72="",$C72=""),"",IFERROR(SUMIFS('Datos diario'!$F:$F,'Datos diario'!$C:$C,$C72,'Datos diario'!$B:$B,$A72-WEEKDAY($A72,3))/(SUMIFS('Datos diario'!$F:$F,'Datos diario'!$C:$C,$C72,'Datos diario'!$B:$B,$A72-WEEKDAY($A72,3))+SUMIFS('Datos diario'!$G:$G,'Datos diario'!$C:$C,$C72,'Datos diario'!$B:$B,$A72-WEEKDAY($A72,3))),""))</f>
        <v/>
      </c>
      <c r="S72" s="31">
        <f>IF(OR($A72="",$C72=""),"",SUMIFS('Datos diario'!$I:$I,'Datos diario'!$C:$C,$C72,'Datos diario'!$B:$B,$A72-WEEKDAY($A72,3)))</f>
        <v/>
      </c>
      <c r="T72" s="31">
        <f>IF(OR($A72="",$C72=""),"",SUMIFS('Datos diario'!$P:$P,'Datos diario'!$C:$C,$C72,'Datos diario'!$B:$B,$A72-WEEKDAY($A72,3)))</f>
        <v/>
      </c>
      <c r="U72" s="31">
        <f>IF(OR($A72="",$C72=""),"",ROUND(SUMIFS('Datos diario'!$U:$U,'Datos diario'!$C:$C,$C72,'Datos diario'!$B:$B,$A72-WEEKDAY($A72,3)),0))</f>
        <v/>
      </c>
      <c r="V72" s="30">
        <f>IF(OR($A72="",$C72=""),"",IFERROR(ROUND(AVERAGEIFS('Datos diario'!$M:$M,'Datos diario'!$C:$C,$C72,'Datos diario'!$B:$B,$A72-WEEKDAY($A72,3),'Datos diario'!$L:$L,"&gt;0"),1),""))</f>
        <v/>
      </c>
    </row>
    <row r="73">
      <c r="A73" s="26" t="n"/>
      <c r="B73" s="22" t="n"/>
      <c r="C73" s="23">
        <f>IF(B73="","",IFERROR(INDEX(Perfil!$B$6:$B$17,MATCH(B73,Perfil!$A$6:$A$17,0)),""))</f>
        <v/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30">
        <f>IF(COUNT(D73:K73)=0,"",AVERAGE(D73:K73))</f>
        <v/>
      </c>
      <c r="M73" s="22" t="n"/>
      <c r="N73" s="22" t="n"/>
      <c r="O73" s="22" t="n"/>
      <c r="P73" s="22" t="n"/>
      <c r="Q73" s="31">
        <f>IF(OR($A73="",$C73=""),"",SUMIFS('Datos diario'!$E:$E,'Datos diario'!$C:$C,$C73,'Datos diario'!$B:$B,$A73-WEEKDAY($A73,3)))</f>
        <v/>
      </c>
      <c r="R73" s="32">
        <f>IF(OR($A73="",$C73=""),"",IFERROR(SUMIFS('Datos diario'!$F:$F,'Datos diario'!$C:$C,$C73,'Datos diario'!$B:$B,$A73-WEEKDAY($A73,3))/(SUMIFS('Datos diario'!$F:$F,'Datos diario'!$C:$C,$C73,'Datos diario'!$B:$B,$A73-WEEKDAY($A73,3))+SUMIFS('Datos diario'!$G:$G,'Datos diario'!$C:$C,$C73,'Datos diario'!$B:$B,$A73-WEEKDAY($A73,3))),""))</f>
        <v/>
      </c>
      <c r="S73" s="31">
        <f>IF(OR($A73="",$C73=""),"",SUMIFS('Datos diario'!$I:$I,'Datos diario'!$C:$C,$C73,'Datos diario'!$B:$B,$A73-WEEKDAY($A73,3)))</f>
        <v/>
      </c>
      <c r="T73" s="31">
        <f>IF(OR($A73="",$C73=""),"",SUMIFS('Datos diario'!$P:$P,'Datos diario'!$C:$C,$C73,'Datos diario'!$B:$B,$A73-WEEKDAY($A73,3)))</f>
        <v/>
      </c>
      <c r="U73" s="31">
        <f>IF(OR($A73="",$C73=""),"",ROUND(SUMIFS('Datos diario'!$U:$U,'Datos diario'!$C:$C,$C73,'Datos diario'!$B:$B,$A73-WEEKDAY($A73,3)),0))</f>
        <v/>
      </c>
      <c r="V73" s="30">
        <f>IF(OR($A73="",$C73=""),"",IFERROR(ROUND(AVERAGEIFS('Datos diario'!$M:$M,'Datos diario'!$C:$C,$C73,'Datos diario'!$B:$B,$A73-WEEKDAY($A73,3),'Datos diario'!$L:$L,"&gt;0"),1),""))</f>
        <v/>
      </c>
    </row>
    <row r="74">
      <c r="A74" s="26" t="n"/>
      <c r="B74" s="22" t="n"/>
      <c r="C74" s="23">
        <f>IF(B74="","",IFERROR(INDEX(Perfil!$B$6:$B$17,MATCH(B74,Perfil!$A$6:$A$17,0)),""))</f>
        <v/>
      </c>
      <c r="D74" s="22" t="n"/>
      <c r="E74" s="22" t="n"/>
      <c r="F74" s="22" t="n"/>
      <c r="G74" s="22" t="n"/>
      <c r="H74" s="22" t="n"/>
      <c r="I74" s="22" t="n"/>
      <c r="J74" s="22" t="n"/>
      <c r="K74" s="22" t="n"/>
      <c r="L74" s="30">
        <f>IF(COUNT(D74:K74)=0,"",AVERAGE(D74:K74))</f>
        <v/>
      </c>
      <c r="M74" s="22" t="n"/>
      <c r="N74" s="22" t="n"/>
      <c r="O74" s="22" t="n"/>
      <c r="P74" s="22" t="n"/>
      <c r="Q74" s="31">
        <f>IF(OR($A74="",$C74=""),"",SUMIFS('Datos diario'!$E:$E,'Datos diario'!$C:$C,$C74,'Datos diario'!$B:$B,$A74-WEEKDAY($A74,3)))</f>
        <v/>
      </c>
      <c r="R74" s="32">
        <f>IF(OR($A74="",$C74=""),"",IFERROR(SUMIFS('Datos diario'!$F:$F,'Datos diario'!$C:$C,$C74,'Datos diario'!$B:$B,$A74-WEEKDAY($A74,3))/(SUMIFS('Datos diario'!$F:$F,'Datos diario'!$C:$C,$C74,'Datos diario'!$B:$B,$A74-WEEKDAY($A74,3))+SUMIFS('Datos diario'!$G:$G,'Datos diario'!$C:$C,$C74,'Datos diario'!$B:$B,$A74-WEEKDAY($A74,3))),""))</f>
        <v/>
      </c>
      <c r="S74" s="31">
        <f>IF(OR($A74="",$C74=""),"",SUMIFS('Datos diario'!$I:$I,'Datos diario'!$C:$C,$C74,'Datos diario'!$B:$B,$A74-WEEKDAY($A74,3)))</f>
        <v/>
      </c>
      <c r="T74" s="31">
        <f>IF(OR($A74="",$C74=""),"",SUMIFS('Datos diario'!$P:$P,'Datos diario'!$C:$C,$C74,'Datos diario'!$B:$B,$A74-WEEKDAY($A74,3)))</f>
        <v/>
      </c>
      <c r="U74" s="31">
        <f>IF(OR($A74="",$C74=""),"",ROUND(SUMIFS('Datos diario'!$U:$U,'Datos diario'!$C:$C,$C74,'Datos diario'!$B:$B,$A74-WEEKDAY($A74,3)),0))</f>
        <v/>
      </c>
      <c r="V74" s="30">
        <f>IF(OR($A74="",$C74=""),"",IFERROR(ROUND(AVERAGEIFS('Datos diario'!$M:$M,'Datos diario'!$C:$C,$C74,'Datos diario'!$B:$B,$A74-WEEKDAY($A74,3),'Datos diario'!$L:$L,"&gt;0"),1),""))</f>
        <v/>
      </c>
    </row>
    <row r="75">
      <c r="A75" s="26" t="n"/>
      <c r="B75" s="22" t="n"/>
      <c r="C75" s="23">
        <f>IF(B75="","",IFERROR(INDEX(Perfil!$B$6:$B$17,MATCH(B75,Perfil!$A$6:$A$17,0)),""))</f>
        <v/>
      </c>
      <c r="D75" s="22" t="n"/>
      <c r="E75" s="22" t="n"/>
      <c r="F75" s="22" t="n"/>
      <c r="G75" s="22" t="n"/>
      <c r="H75" s="22" t="n"/>
      <c r="I75" s="22" t="n"/>
      <c r="J75" s="22" t="n"/>
      <c r="K75" s="22" t="n"/>
      <c r="L75" s="30">
        <f>IF(COUNT(D75:K75)=0,"",AVERAGE(D75:K75))</f>
        <v/>
      </c>
      <c r="M75" s="22" t="n"/>
      <c r="N75" s="22" t="n"/>
      <c r="O75" s="22" t="n"/>
      <c r="P75" s="22" t="n"/>
      <c r="Q75" s="31">
        <f>IF(OR($A75="",$C75=""),"",SUMIFS('Datos diario'!$E:$E,'Datos diario'!$C:$C,$C75,'Datos diario'!$B:$B,$A75-WEEKDAY($A75,3)))</f>
        <v/>
      </c>
      <c r="R75" s="32">
        <f>IF(OR($A75="",$C75=""),"",IFERROR(SUMIFS('Datos diario'!$F:$F,'Datos diario'!$C:$C,$C75,'Datos diario'!$B:$B,$A75-WEEKDAY($A75,3))/(SUMIFS('Datos diario'!$F:$F,'Datos diario'!$C:$C,$C75,'Datos diario'!$B:$B,$A75-WEEKDAY($A75,3))+SUMIFS('Datos diario'!$G:$G,'Datos diario'!$C:$C,$C75,'Datos diario'!$B:$B,$A75-WEEKDAY($A75,3))),""))</f>
        <v/>
      </c>
      <c r="S75" s="31">
        <f>IF(OR($A75="",$C75=""),"",SUMIFS('Datos diario'!$I:$I,'Datos diario'!$C:$C,$C75,'Datos diario'!$B:$B,$A75-WEEKDAY($A75,3)))</f>
        <v/>
      </c>
      <c r="T75" s="31">
        <f>IF(OR($A75="",$C75=""),"",SUMIFS('Datos diario'!$P:$P,'Datos diario'!$C:$C,$C75,'Datos diario'!$B:$B,$A75-WEEKDAY($A75,3)))</f>
        <v/>
      </c>
      <c r="U75" s="31">
        <f>IF(OR($A75="",$C75=""),"",ROUND(SUMIFS('Datos diario'!$U:$U,'Datos diario'!$C:$C,$C75,'Datos diario'!$B:$B,$A75-WEEKDAY($A75,3)),0))</f>
        <v/>
      </c>
      <c r="V75" s="30">
        <f>IF(OR($A75="",$C75=""),"",IFERROR(ROUND(AVERAGEIFS('Datos diario'!$M:$M,'Datos diario'!$C:$C,$C75,'Datos diario'!$B:$B,$A75-WEEKDAY($A75,3),'Datos diario'!$L:$L,"&gt;0"),1),""))</f>
        <v/>
      </c>
    </row>
    <row r="76">
      <c r="A76" s="26" t="n"/>
      <c r="B76" s="22" t="n"/>
      <c r="C76" s="23">
        <f>IF(B76="","",IFERROR(INDEX(Perfil!$B$6:$B$17,MATCH(B76,Perfil!$A$6:$A$17,0)),""))</f>
        <v/>
      </c>
      <c r="D76" s="22" t="n"/>
      <c r="E76" s="22" t="n"/>
      <c r="F76" s="22" t="n"/>
      <c r="G76" s="22" t="n"/>
      <c r="H76" s="22" t="n"/>
      <c r="I76" s="22" t="n"/>
      <c r="J76" s="22" t="n"/>
      <c r="K76" s="22" t="n"/>
      <c r="L76" s="30">
        <f>IF(COUNT(D76:K76)=0,"",AVERAGE(D76:K76))</f>
        <v/>
      </c>
      <c r="M76" s="22" t="n"/>
      <c r="N76" s="22" t="n"/>
      <c r="O76" s="22" t="n"/>
      <c r="P76" s="22" t="n"/>
      <c r="Q76" s="31">
        <f>IF(OR($A76="",$C76=""),"",SUMIFS('Datos diario'!$E:$E,'Datos diario'!$C:$C,$C76,'Datos diario'!$B:$B,$A76-WEEKDAY($A76,3)))</f>
        <v/>
      </c>
      <c r="R76" s="32">
        <f>IF(OR($A76="",$C76=""),"",IFERROR(SUMIFS('Datos diario'!$F:$F,'Datos diario'!$C:$C,$C76,'Datos diario'!$B:$B,$A76-WEEKDAY($A76,3))/(SUMIFS('Datos diario'!$F:$F,'Datos diario'!$C:$C,$C76,'Datos diario'!$B:$B,$A76-WEEKDAY($A76,3))+SUMIFS('Datos diario'!$G:$G,'Datos diario'!$C:$C,$C76,'Datos diario'!$B:$B,$A76-WEEKDAY($A76,3))),""))</f>
        <v/>
      </c>
      <c r="S76" s="31">
        <f>IF(OR($A76="",$C76=""),"",SUMIFS('Datos diario'!$I:$I,'Datos diario'!$C:$C,$C76,'Datos diario'!$B:$B,$A76-WEEKDAY($A76,3)))</f>
        <v/>
      </c>
      <c r="T76" s="31">
        <f>IF(OR($A76="",$C76=""),"",SUMIFS('Datos diario'!$P:$P,'Datos diario'!$C:$C,$C76,'Datos diario'!$B:$B,$A76-WEEKDAY($A76,3)))</f>
        <v/>
      </c>
      <c r="U76" s="31">
        <f>IF(OR($A76="",$C76=""),"",ROUND(SUMIFS('Datos diario'!$U:$U,'Datos diario'!$C:$C,$C76,'Datos diario'!$B:$B,$A76-WEEKDAY($A76,3)),0))</f>
        <v/>
      </c>
      <c r="V76" s="30">
        <f>IF(OR($A76="",$C76=""),"",IFERROR(ROUND(AVERAGEIFS('Datos diario'!$M:$M,'Datos diario'!$C:$C,$C76,'Datos diario'!$B:$B,$A76-WEEKDAY($A76,3),'Datos diario'!$L:$L,"&gt;0"),1),""))</f>
        <v/>
      </c>
    </row>
    <row r="77">
      <c r="A77" s="26" t="n"/>
      <c r="B77" s="22" t="n"/>
      <c r="C77" s="23">
        <f>IF(B77="","",IFERROR(INDEX(Perfil!$B$6:$B$17,MATCH(B77,Perfil!$A$6:$A$17,0)),""))</f>
        <v/>
      </c>
      <c r="D77" s="22" t="n"/>
      <c r="E77" s="22" t="n"/>
      <c r="F77" s="22" t="n"/>
      <c r="G77" s="22" t="n"/>
      <c r="H77" s="22" t="n"/>
      <c r="I77" s="22" t="n"/>
      <c r="J77" s="22" t="n"/>
      <c r="K77" s="22" t="n"/>
      <c r="L77" s="30">
        <f>IF(COUNT(D77:K77)=0,"",AVERAGE(D77:K77))</f>
        <v/>
      </c>
      <c r="M77" s="22" t="n"/>
      <c r="N77" s="22" t="n"/>
      <c r="O77" s="22" t="n"/>
      <c r="P77" s="22" t="n"/>
      <c r="Q77" s="31">
        <f>IF(OR($A77="",$C77=""),"",SUMIFS('Datos diario'!$E:$E,'Datos diario'!$C:$C,$C77,'Datos diario'!$B:$B,$A77-WEEKDAY($A77,3)))</f>
        <v/>
      </c>
      <c r="R77" s="32">
        <f>IF(OR($A77="",$C77=""),"",IFERROR(SUMIFS('Datos diario'!$F:$F,'Datos diario'!$C:$C,$C77,'Datos diario'!$B:$B,$A77-WEEKDAY($A77,3))/(SUMIFS('Datos diario'!$F:$F,'Datos diario'!$C:$C,$C77,'Datos diario'!$B:$B,$A77-WEEKDAY($A77,3))+SUMIFS('Datos diario'!$G:$G,'Datos diario'!$C:$C,$C77,'Datos diario'!$B:$B,$A77-WEEKDAY($A77,3))),""))</f>
        <v/>
      </c>
      <c r="S77" s="31">
        <f>IF(OR($A77="",$C77=""),"",SUMIFS('Datos diario'!$I:$I,'Datos diario'!$C:$C,$C77,'Datos diario'!$B:$B,$A77-WEEKDAY($A77,3)))</f>
        <v/>
      </c>
      <c r="T77" s="31">
        <f>IF(OR($A77="",$C77=""),"",SUMIFS('Datos diario'!$P:$P,'Datos diario'!$C:$C,$C77,'Datos diario'!$B:$B,$A77-WEEKDAY($A77,3)))</f>
        <v/>
      </c>
      <c r="U77" s="31">
        <f>IF(OR($A77="",$C77=""),"",ROUND(SUMIFS('Datos diario'!$U:$U,'Datos diario'!$C:$C,$C77,'Datos diario'!$B:$B,$A77-WEEKDAY($A77,3)),0))</f>
        <v/>
      </c>
      <c r="V77" s="30">
        <f>IF(OR($A77="",$C77=""),"",IFERROR(ROUND(AVERAGEIFS('Datos diario'!$M:$M,'Datos diario'!$C:$C,$C77,'Datos diario'!$B:$B,$A77-WEEKDAY($A77,3),'Datos diario'!$L:$L,"&gt;0"),1),""))</f>
        <v/>
      </c>
    </row>
    <row r="78">
      <c r="A78" s="26" t="n"/>
      <c r="B78" s="22" t="n"/>
      <c r="C78" s="23">
        <f>IF(B78="","",IFERROR(INDEX(Perfil!$B$6:$B$17,MATCH(B78,Perfil!$A$6:$A$17,0)),""))</f>
        <v/>
      </c>
      <c r="D78" s="22" t="n"/>
      <c r="E78" s="22" t="n"/>
      <c r="F78" s="22" t="n"/>
      <c r="G78" s="22" t="n"/>
      <c r="H78" s="22" t="n"/>
      <c r="I78" s="22" t="n"/>
      <c r="J78" s="22" t="n"/>
      <c r="K78" s="22" t="n"/>
      <c r="L78" s="30">
        <f>IF(COUNT(D78:K78)=0,"",AVERAGE(D78:K78))</f>
        <v/>
      </c>
      <c r="M78" s="22" t="n"/>
      <c r="N78" s="22" t="n"/>
      <c r="O78" s="22" t="n"/>
      <c r="P78" s="22" t="n"/>
      <c r="Q78" s="31">
        <f>IF(OR($A78="",$C78=""),"",SUMIFS('Datos diario'!$E:$E,'Datos diario'!$C:$C,$C78,'Datos diario'!$B:$B,$A78-WEEKDAY($A78,3)))</f>
        <v/>
      </c>
      <c r="R78" s="32">
        <f>IF(OR($A78="",$C78=""),"",IFERROR(SUMIFS('Datos diario'!$F:$F,'Datos diario'!$C:$C,$C78,'Datos diario'!$B:$B,$A78-WEEKDAY($A78,3))/(SUMIFS('Datos diario'!$F:$F,'Datos diario'!$C:$C,$C78,'Datos diario'!$B:$B,$A78-WEEKDAY($A78,3))+SUMIFS('Datos diario'!$G:$G,'Datos diario'!$C:$C,$C78,'Datos diario'!$B:$B,$A78-WEEKDAY($A78,3))),""))</f>
        <v/>
      </c>
      <c r="S78" s="31">
        <f>IF(OR($A78="",$C78=""),"",SUMIFS('Datos diario'!$I:$I,'Datos diario'!$C:$C,$C78,'Datos diario'!$B:$B,$A78-WEEKDAY($A78,3)))</f>
        <v/>
      </c>
      <c r="T78" s="31">
        <f>IF(OR($A78="",$C78=""),"",SUMIFS('Datos diario'!$P:$P,'Datos diario'!$C:$C,$C78,'Datos diario'!$B:$B,$A78-WEEKDAY($A78,3)))</f>
        <v/>
      </c>
      <c r="U78" s="31">
        <f>IF(OR($A78="",$C78=""),"",ROUND(SUMIFS('Datos diario'!$U:$U,'Datos diario'!$C:$C,$C78,'Datos diario'!$B:$B,$A78-WEEKDAY($A78,3)),0))</f>
        <v/>
      </c>
      <c r="V78" s="30">
        <f>IF(OR($A78="",$C78=""),"",IFERROR(ROUND(AVERAGEIFS('Datos diario'!$M:$M,'Datos diario'!$C:$C,$C78,'Datos diario'!$B:$B,$A78-WEEKDAY($A78,3),'Datos diario'!$L:$L,"&gt;0"),1),""))</f>
        <v/>
      </c>
    </row>
    <row r="79">
      <c r="A79" s="26" t="n"/>
      <c r="B79" s="22" t="n"/>
      <c r="C79" s="23">
        <f>IF(B79="","",IFERROR(INDEX(Perfil!$B$6:$B$17,MATCH(B79,Perfil!$A$6:$A$17,0)),""))</f>
        <v/>
      </c>
      <c r="D79" s="22" t="n"/>
      <c r="E79" s="22" t="n"/>
      <c r="F79" s="22" t="n"/>
      <c r="G79" s="22" t="n"/>
      <c r="H79" s="22" t="n"/>
      <c r="I79" s="22" t="n"/>
      <c r="J79" s="22" t="n"/>
      <c r="K79" s="22" t="n"/>
      <c r="L79" s="30">
        <f>IF(COUNT(D79:K79)=0,"",AVERAGE(D79:K79))</f>
        <v/>
      </c>
      <c r="M79" s="22" t="n"/>
      <c r="N79" s="22" t="n"/>
      <c r="O79" s="22" t="n"/>
      <c r="P79" s="22" t="n"/>
      <c r="Q79" s="31">
        <f>IF(OR($A79="",$C79=""),"",SUMIFS('Datos diario'!$E:$E,'Datos diario'!$C:$C,$C79,'Datos diario'!$B:$B,$A79-WEEKDAY($A79,3)))</f>
        <v/>
      </c>
      <c r="R79" s="32">
        <f>IF(OR($A79="",$C79=""),"",IFERROR(SUMIFS('Datos diario'!$F:$F,'Datos diario'!$C:$C,$C79,'Datos diario'!$B:$B,$A79-WEEKDAY($A79,3))/(SUMIFS('Datos diario'!$F:$F,'Datos diario'!$C:$C,$C79,'Datos diario'!$B:$B,$A79-WEEKDAY($A79,3))+SUMIFS('Datos diario'!$G:$G,'Datos diario'!$C:$C,$C79,'Datos diario'!$B:$B,$A79-WEEKDAY($A79,3))),""))</f>
        <v/>
      </c>
      <c r="S79" s="31">
        <f>IF(OR($A79="",$C79=""),"",SUMIFS('Datos diario'!$I:$I,'Datos diario'!$C:$C,$C79,'Datos diario'!$B:$B,$A79-WEEKDAY($A79,3)))</f>
        <v/>
      </c>
      <c r="T79" s="31">
        <f>IF(OR($A79="",$C79=""),"",SUMIFS('Datos diario'!$P:$P,'Datos diario'!$C:$C,$C79,'Datos diario'!$B:$B,$A79-WEEKDAY($A79,3)))</f>
        <v/>
      </c>
      <c r="U79" s="31">
        <f>IF(OR($A79="",$C79=""),"",ROUND(SUMIFS('Datos diario'!$U:$U,'Datos diario'!$C:$C,$C79,'Datos diario'!$B:$B,$A79-WEEKDAY($A79,3)),0))</f>
        <v/>
      </c>
      <c r="V79" s="30">
        <f>IF(OR($A79="",$C79=""),"",IFERROR(ROUND(AVERAGEIFS('Datos diario'!$M:$M,'Datos diario'!$C:$C,$C79,'Datos diario'!$B:$B,$A79-WEEKDAY($A79,3),'Datos diario'!$L:$L,"&gt;0"),1),""))</f>
        <v/>
      </c>
    </row>
    <row r="80">
      <c r="A80" s="26" t="n"/>
      <c r="B80" s="22" t="n"/>
      <c r="C80" s="23">
        <f>IF(B80="","",IFERROR(INDEX(Perfil!$B$6:$B$17,MATCH(B80,Perfil!$A$6:$A$17,0)),""))</f>
        <v/>
      </c>
      <c r="D80" s="22" t="n"/>
      <c r="E80" s="22" t="n"/>
      <c r="F80" s="22" t="n"/>
      <c r="G80" s="22" t="n"/>
      <c r="H80" s="22" t="n"/>
      <c r="I80" s="22" t="n"/>
      <c r="J80" s="22" t="n"/>
      <c r="K80" s="22" t="n"/>
      <c r="L80" s="30">
        <f>IF(COUNT(D80:K80)=0,"",AVERAGE(D80:K80))</f>
        <v/>
      </c>
      <c r="M80" s="22" t="n"/>
      <c r="N80" s="22" t="n"/>
      <c r="O80" s="22" t="n"/>
      <c r="P80" s="22" t="n"/>
      <c r="Q80" s="31">
        <f>IF(OR($A80="",$C80=""),"",SUMIFS('Datos diario'!$E:$E,'Datos diario'!$C:$C,$C80,'Datos diario'!$B:$B,$A80-WEEKDAY($A80,3)))</f>
        <v/>
      </c>
      <c r="R80" s="32">
        <f>IF(OR($A80="",$C80=""),"",IFERROR(SUMIFS('Datos diario'!$F:$F,'Datos diario'!$C:$C,$C80,'Datos diario'!$B:$B,$A80-WEEKDAY($A80,3))/(SUMIFS('Datos diario'!$F:$F,'Datos diario'!$C:$C,$C80,'Datos diario'!$B:$B,$A80-WEEKDAY($A80,3))+SUMIFS('Datos diario'!$G:$G,'Datos diario'!$C:$C,$C80,'Datos diario'!$B:$B,$A80-WEEKDAY($A80,3))),""))</f>
        <v/>
      </c>
      <c r="S80" s="31">
        <f>IF(OR($A80="",$C80=""),"",SUMIFS('Datos diario'!$I:$I,'Datos diario'!$C:$C,$C80,'Datos diario'!$B:$B,$A80-WEEKDAY($A80,3)))</f>
        <v/>
      </c>
      <c r="T80" s="31">
        <f>IF(OR($A80="",$C80=""),"",SUMIFS('Datos diario'!$P:$P,'Datos diario'!$C:$C,$C80,'Datos diario'!$B:$B,$A80-WEEKDAY($A80,3)))</f>
        <v/>
      </c>
      <c r="U80" s="31">
        <f>IF(OR($A80="",$C80=""),"",ROUND(SUMIFS('Datos diario'!$U:$U,'Datos diario'!$C:$C,$C80,'Datos diario'!$B:$B,$A80-WEEKDAY($A80,3)),0))</f>
        <v/>
      </c>
      <c r="V80" s="30">
        <f>IF(OR($A80="",$C80=""),"",IFERROR(ROUND(AVERAGEIFS('Datos diario'!$M:$M,'Datos diario'!$C:$C,$C80,'Datos diario'!$B:$B,$A80-WEEKDAY($A80,3),'Datos diario'!$L:$L,"&gt;0"),1),""))</f>
        <v/>
      </c>
    </row>
    <row r="81">
      <c r="A81" s="26" t="n"/>
      <c r="B81" s="22" t="n"/>
      <c r="C81" s="23">
        <f>IF(B81="","",IFERROR(INDEX(Perfil!$B$6:$B$17,MATCH(B81,Perfil!$A$6:$A$17,0)),""))</f>
        <v/>
      </c>
      <c r="D81" s="22" t="n"/>
      <c r="E81" s="22" t="n"/>
      <c r="F81" s="22" t="n"/>
      <c r="G81" s="22" t="n"/>
      <c r="H81" s="22" t="n"/>
      <c r="I81" s="22" t="n"/>
      <c r="J81" s="22" t="n"/>
      <c r="K81" s="22" t="n"/>
      <c r="L81" s="30">
        <f>IF(COUNT(D81:K81)=0,"",AVERAGE(D81:K81))</f>
        <v/>
      </c>
      <c r="M81" s="22" t="n"/>
      <c r="N81" s="22" t="n"/>
      <c r="O81" s="22" t="n"/>
      <c r="P81" s="22" t="n"/>
      <c r="Q81" s="31">
        <f>IF(OR($A81="",$C81=""),"",SUMIFS('Datos diario'!$E:$E,'Datos diario'!$C:$C,$C81,'Datos diario'!$B:$B,$A81-WEEKDAY($A81,3)))</f>
        <v/>
      </c>
      <c r="R81" s="32">
        <f>IF(OR($A81="",$C81=""),"",IFERROR(SUMIFS('Datos diario'!$F:$F,'Datos diario'!$C:$C,$C81,'Datos diario'!$B:$B,$A81-WEEKDAY($A81,3))/(SUMIFS('Datos diario'!$F:$F,'Datos diario'!$C:$C,$C81,'Datos diario'!$B:$B,$A81-WEEKDAY($A81,3))+SUMIFS('Datos diario'!$G:$G,'Datos diario'!$C:$C,$C81,'Datos diario'!$B:$B,$A81-WEEKDAY($A81,3))),""))</f>
        <v/>
      </c>
      <c r="S81" s="31">
        <f>IF(OR($A81="",$C81=""),"",SUMIFS('Datos diario'!$I:$I,'Datos diario'!$C:$C,$C81,'Datos diario'!$B:$B,$A81-WEEKDAY($A81,3)))</f>
        <v/>
      </c>
      <c r="T81" s="31">
        <f>IF(OR($A81="",$C81=""),"",SUMIFS('Datos diario'!$P:$P,'Datos diario'!$C:$C,$C81,'Datos diario'!$B:$B,$A81-WEEKDAY($A81,3)))</f>
        <v/>
      </c>
      <c r="U81" s="31">
        <f>IF(OR($A81="",$C81=""),"",ROUND(SUMIFS('Datos diario'!$U:$U,'Datos diario'!$C:$C,$C81,'Datos diario'!$B:$B,$A81-WEEKDAY($A81,3)),0))</f>
        <v/>
      </c>
      <c r="V81" s="30">
        <f>IF(OR($A81="",$C81=""),"",IFERROR(ROUND(AVERAGEIFS('Datos diario'!$M:$M,'Datos diario'!$C:$C,$C81,'Datos diario'!$B:$B,$A81-WEEKDAY($A81,3),'Datos diario'!$L:$L,"&gt;0"),1),""))</f>
        <v/>
      </c>
    </row>
    <row r="82">
      <c r="A82" s="26" t="n"/>
      <c r="B82" s="22" t="n"/>
      <c r="C82" s="23">
        <f>IF(B82="","",IFERROR(INDEX(Perfil!$B$6:$B$17,MATCH(B82,Perfil!$A$6:$A$17,0)),""))</f>
        <v/>
      </c>
      <c r="D82" s="22" t="n"/>
      <c r="E82" s="22" t="n"/>
      <c r="F82" s="22" t="n"/>
      <c r="G82" s="22" t="n"/>
      <c r="H82" s="22" t="n"/>
      <c r="I82" s="22" t="n"/>
      <c r="J82" s="22" t="n"/>
      <c r="K82" s="22" t="n"/>
      <c r="L82" s="30">
        <f>IF(COUNT(D82:K82)=0,"",AVERAGE(D82:K82))</f>
        <v/>
      </c>
      <c r="M82" s="22" t="n"/>
      <c r="N82" s="22" t="n"/>
      <c r="O82" s="22" t="n"/>
      <c r="P82" s="22" t="n"/>
      <c r="Q82" s="31">
        <f>IF(OR($A82="",$C82=""),"",SUMIFS('Datos diario'!$E:$E,'Datos diario'!$C:$C,$C82,'Datos diario'!$B:$B,$A82-WEEKDAY($A82,3)))</f>
        <v/>
      </c>
      <c r="R82" s="32">
        <f>IF(OR($A82="",$C82=""),"",IFERROR(SUMIFS('Datos diario'!$F:$F,'Datos diario'!$C:$C,$C82,'Datos diario'!$B:$B,$A82-WEEKDAY($A82,3))/(SUMIFS('Datos diario'!$F:$F,'Datos diario'!$C:$C,$C82,'Datos diario'!$B:$B,$A82-WEEKDAY($A82,3))+SUMIFS('Datos diario'!$G:$G,'Datos diario'!$C:$C,$C82,'Datos diario'!$B:$B,$A82-WEEKDAY($A82,3))),""))</f>
        <v/>
      </c>
      <c r="S82" s="31">
        <f>IF(OR($A82="",$C82=""),"",SUMIFS('Datos diario'!$I:$I,'Datos diario'!$C:$C,$C82,'Datos diario'!$B:$B,$A82-WEEKDAY($A82,3)))</f>
        <v/>
      </c>
      <c r="T82" s="31">
        <f>IF(OR($A82="",$C82=""),"",SUMIFS('Datos diario'!$P:$P,'Datos diario'!$C:$C,$C82,'Datos diario'!$B:$B,$A82-WEEKDAY($A82,3)))</f>
        <v/>
      </c>
      <c r="U82" s="31">
        <f>IF(OR($A82="",$C82=""),"",ROUND(SUMIFS('Datos diario'!$U:$U,'Datos diario'!$C:$C,$C82,'Datos diario'!$B:$B,$A82-WEEKDAY($A82,3)),0))</f>
        <v/>
      </c>
      <c r="V82" s="30">
        <f>IF(OR($A82="",$C82=""),"",IFERROR(ROUND(AVERAGEIFS('Datos diario'!$M:$M,'Datos diario'!$C:$C,$C82,'Datos diario'!$B:$B,$A82-WEEKDAY($A82,3),'Datos diario'!$L:$L,"&gt;0"),1),""))</f>
        <v/>
      </c>
    </row>
    <row r="83">
      <c r="A83" s="26" t="n"/>
      <c r="B83" s="22" t="n"/>
      <c r="C83" s="23">
        <f>IF(B83="","",IFERROR(INDEX(Perfil!$B$6:$B$17,MATCH(B83,Perfil!$A$6:$A$17,0)),""))</f>
        <v/>
      </c>
      <c r="D83" s="22" t="n"/>
      <c r="E83" s="22" t="n"/>
      <c r="F83" s="22" t="n"/>
      <c r="G83" s="22" t="n"/>
      <c r="H83" s="22" t="n"/>
      <c r="I83" s="22" t="n"/>
      <c r="J83" s="22" t="n"/>
      <c r="K83" s="22" t="n"/>
      <c r="L83" s="30">
        <f>IF(COUNT(D83:K83)=0,"",AVERAGE(D83:K83))</f>
        <v/>
      </c>
      <c r="M83" s="22" t="n"/>
      <c r="N83" s="22" t="n"/>
      <c r="O83" s="22" t="n"/>
      <c r="P83" s="22" t="n"/>
      <c r="Q83" s="31">
        <f>IF(OR($A83="",$C83=""),"",SUMIFS('Datos diario'!$E:$E,'Datos diario'!$C:$C,$C83,'Datos diario'!$B:$B,$A83-WEEKDAY($A83,3)))</f>
        <v/>
      </c>
      <c r="R83" s="32">
        <f>IF(OR($A83="",$C83=""),"",IFERROR(SUMIFS('Datos diario'!$F:$F,'Datos diario'!$C:$C,$C83,'Datos diario'!$B:$B,$A83-WEEKDAY($A83,3))/(SUMIFS('Datos diario'!$F:$F,'Datos diario'!$C:$C,$C83,'Datos diario'!$B:$B,$A83-WEEKDAY($A83,3))+SUMIFS('Datos diario'!$G:$G,'Datos diario'!$C:$C,$C83,'Datos diario'!$B:$B,$A83-WEEKDAY($A83,3))),""))</f>
        <v/>
      </c>
      <c r="S83" s="31">
        <f>IF(OR($A83="",$C83=""),"",SUMIFS('Datos diario'!$I:$I,'Datos diario'!$C:$C,$C83,'Datos diario'!$B:$B,$A83-WEEKDAY($A83,3)))</f>
        <v/>
      </c>
      <c r="T83" s="31">
        <f>IF(OR($A83="",$C83=""),"",SUMIFS('Datos diario'!$P:$P,'Datos diario'!$C:$C,$C83,'Datos diario'!$B:$B,$A83-WEEKDAY($A83,3)))</f>
        <v/>
      </c>
      <c r="U83" s="31">
        <f>IF(OR($A83="",$C83=""),"",ROUND(SUMIFS('Datos diario'!$U:$U,'Datos diario'!$C:$C,$C83,'Datos diario'!$B:$B,$A83-WEEKDAY($A83,3)),0))</f>
        <v/>
      </c>
      <c r="V83" s="30">
        <f>IF(OR($A83="",$C83=""),"",IFERROR(ROUND(AVERAGEIFS('Datos diario'!$M:$M,'Datos diario'!$C:$C,$C83,'Datos diario'!$B:$B,$A83-WEEKDAY($A83,3),'Datos diario'!$L:$L,"&gt;0"),1),""))</f>
        <v/>
      </c>
    </row>
    <row r="84">
      <c r="A84" s="26" t="n"/>
      <c r="B84" s="22" t="n"/>
      <c r="C84" s="23">
        <f>IF(B84="","",IFERROR(INDEX(Perfil!$B$6:$B$17,MATCH(B84,Perfil!$A$6:$A$17,0)),""))</f>
        <v/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30">
        <f>IF(COUNT(D84:K84)=0,"",AVERAGE(D84:K84))</f>
        <v/>
      </c>
      <c r="M84" s="22" t="n"/>
      <c r="N84" s="22" t="n"/>
      <c r="O84" s="22" t="n"/>
      <c r="P84" s="22" t="n"/>
      <c r="Q84" s="31">
        <f>IF(OR($A84="",$C84=""),"",SUMIFS('Datos diario'!$E:$E,'Datos diario'!$C:$C,$C84,'Datos diario'!$B:$B,$A84-WEEKDAY($A84,3)))</f>
        <v/>
      </c>
      <c r="R84" s="32">
        <f>IF(OR($A84="",$C84=""),"",IFERROR(SUMIFS('Datos diario'!$F:$F,'Datos diario'!$C:$C,$C84,'Datos diario'!$B:$B,$A84-WEEKDAY($A84,3))/(SUMIFS('Datos diario'!$F:$F,'Datos diario'!$C:$C,$C84,'Datos diario'!$B:$B,$A84-WEEKDAY($A84,3))+SUMIFS('Datos diario'!$G:$G,'Datos diario'!$C:$C,$C84,'Datos diario'!$B:$B,$A84-WEEKDAY($A84,3))),""))</f>
        <v/>
      </c>
      <c r="S84" s="31">
        <f>IF(OR($A84="",$C84=""),"",SUMIFS('Datos diario'!$I:$I,'Datos diario'!$C:$C,$C84,'Datos diario'!$B:$B,$A84-WEEKDAY($A84,3)))</f>
        <v/>
      </c>
      <c r="T84" s="31">
        <f>IF(OR($A84="",$C84=""),"",SUMIFS('Datos diario'!$P:$P,'Datos diario'!$C:$C,$C84,'Datos diario'!$B:$B,$A84-WEEKDAY($A84,3)))</f>
        <v/>
      </c>
      <c r="U84" s="31">
        <f>IF(OR($A84="",$C84=""),"",ROUND(SUMIFS('Datos diario'!$U:$U,'Datos diario'!$C:$C,$C84,'Datos diario'!$B:$B,$A84-WEEKDAY($A84,3)),0))</f>
        <v/>
      </c>
      <c r="V84" s="30">
        <f>IF(OR($A84="",$C84=""),"",IFERROR(ROUND(AVERAGEIFS('Datos diario'!$M:$M,'Datos diario'!$C:$C,$C84,'Datos diario'!$B:$B,$A84-WEEKDAY($A84,3),'Datos diario'!$L:$L,"&gt;0"),1),""))</f>
        <v/>
      </c>
    </row>
    <row r="85">
      <c r="A85" s="26" t="n"/>
      <c r="B85" s="22" t="n"/>
      <c r="C85" s="23">
        <f>IF(B85="","",IFERROR(INDEX(Perfil!$B$6:$B$17,MATCH(B85,Perfil!$A$6:$A$17,0)),""))</f>
        <v/>
      </c>
      <c r="D85" s="22" t="n"/>
      <c r="E85" s="22" t="n"/>
      <c r="F85" s="22" t="n"/>
      <c r="G85" s="22" t="n"/>
      <c r="H85" s="22" t="n"/>
      <c r="I85" s="22" t="n"/>
      <c r="J85" s="22" t="n"/>
      <c r="K85" s="22" t="n"/>
      <c r="L85" s="30">
        <f>IF(COUNT(D85:K85)=0,"",AVERAGE(D85:K85))</f>
        <v/>
      </c>
      <c r="M85" s="22" t="n"/>
      <c r="N85" s="22" t="n"/>
      <c r="O85" s="22" t="n"/>
      <c r="P85" s="22" t="n"/>
      <c r="Q85" s="31">
        <f>IF(OR($A85="",$C85=""),"",SUMIFS('Datos diario'!$E:$E,'Datos diario'!$C:$C,$C85,'Datos diario'!$B:$B,$A85-WEEKDAY($A85,3)))</f>
        <v/>
      </c>
      <c r="R85" s="32">
        <f>IF(OR($A85="",$C85=""),"",IFERROR(SUMIFS('Datos diario'!$F:$F,'Datos diario'!$C:$C,$C85,'Datos diario'!$B:$B,$A85-WEEKDAY($A85,3))/(SUMIFS('Datos diario'!$F:$F,'Datos diario'!$C:$C,$C85,'Datos diario'!$B:$B,$A85-WEEKDAY($A85,3))+SUMIFS('Datos diario'!$G:$G,'Datos diario'!$C:$C,$C85,'Datos diario'!$B:$B,$A85-WEEKDAY($A85,3))),""))</f>
        <v/>
      </c>
      <c r="S85" s="31">
        <f>IF(OR($A85="",$C85=""),"",SUMIFS('Datos diario'!$I:$I,'Datos diario'!$C:$C,$C85,'Datos diario'!$B:$B,$A85-WEEKDAY($A85,3)))</f>
        <v/>
      </c>
      <c r="T85" s="31">
        <f>IF(OR($A85="",$C85=""),"",SUMIFS('Datos diario'!$P:$P,'Datos diario'!$C:$C,$C85,'Datos diario'!$B:$B,$A85-WEEKDAY($A85,3)))</f>
        <v/>
      </c>
      <c r="U85" s="31">
        <f>IF(OR($A85="",$C85=""),"",ROUND(SUMIFS('Datos diario'!$U:$U,'Datos diario'!$C:$C,$C85,'Datos diario'!$B:$B,$A85-WEEKDAY($A85,3)),0))</f>
        <v/>
      </c>
      <c r="V85" s="30">
        <f>IF(OR($A85="",$C85=""),"",IFERROR(ROUND(AVERAGEIFS('Datos diario'!$M:$M,'Datos diario'!$C:$C,$C85,'Datos diario'!$B:$B,$A85-WEEKDAY($A85,3),'Datos diario'!$L:$L,"&gt;0"),1),""))</f>
        <v/>
      </c>
    </row>
    <row r="86">
      <c r="A86" s="26" t="n"/>
      <c r="B86" s="22" t="n"/>
      <c r="C86" s="23">
        <f>IF(B86="","",IFERROR(INDEX(Perfil!$B$6:$B$17,MATCH(B86,Perfil!$A$6:$A$17,0)),""))</f>
        <v/>
      </c>
      <c r="D86" s="22" t="n"/>
      <c r="E86" s="22" t="n"/>
      <c r="F86" s="22" t="n"/>
      <c r="G86" s="22" t="n"/>
      <c r="H86" s="22" t="n"/>
      <c r="I86" s="22" t="n"/>
      <c r="J86" s="22" t="n"/>
      <c r="K86" s="22" t="n"/>
      <c r="L86" s="30">
        <f>IF(COUNT(D86:K86)=0,"",AVERAGE(D86:K86))</f>
        <v/>
      </c>
      <c r="M86" s="22" t="n"/>
      <c r="N86" s="22" t="n"/>
      <c r="O86" s="22" t="n"/>
      <c r="P86" s="22" t="n"/>
      <c r="Q86" s="31">
        <f>IF(OR($A86="",$C86=""),"",SUMIFS('Datos diario'!$E:$E,'Datos diario'!$C:$C,$C86,'Datos diario'!$B:$B,$A86-WEEKDAY($A86,3)))</f>
        <v/>
      </c>
      <c r="R86" s="32">
        <f>IF(OR($A86="",$C86=""),"",IFERROR(SUMIFS('Datos diario'!$F:$F,'Datos diario'!$C:$C,$C86,'Datos diario'!$B:$B,$A86-WEEKDAY($A86,3))/(SUMIFS('Datos diario'!$F:$F,'Datos diario'!$C:$C,$C86,'Datos diario'!$B:$B,$A86-WEEKDAY($A86,3))+SUMIFS('Datos diario'!$G:$G,'Datos diario'!$C:$C,$C86,'Datos diario'!$B:$B,$A86-WEEKDAY($A86,3))),""))</f>
        <v/>
      </c>
      <c r="S86" s="31">
        <f>IF(OR($A86="",$C86=""),"",SUMIFS('Datos diario'!$I:$I,'Datos diario'!$C:$C,$C86,'Datos diario'!$B:$B,$A86-WEEKDAY($A86,3)))</f>
        <v/>
      </c>
      <c r="T86" s="31">
        <f>IF(OR($A86="",$C86=""),"",SUMIFS('Datos diario'!$P:$P,'Datos diario'!$C:$C,$C86,'Datos diario'!$B:$B,$A86-WEEKDAY($A86,3)))</f>
        <v/>
      </c>
      <c r="U86" s="31">
        <f>IF(OR($A86="",$C86=""),"",ROUND(SUMIFS('Datos diario'!$U:$U,'Datos diario'!$C:$C,$C86,'Datos diario'!$B:$B,$A86-WEEKDAY($A86,3)),0))</f>
        <v/>
      </c>
      <c r="V86" s="30">
        <f>IF(OR($A86="",$C86=""),"",IFERROR(ROUND(AVERAGEIFS('Datos diario'!$M:$M,'Datos diario'!$C:$C,$C86,'Datos diario'!$B:$B,$A86-WEEKDAY($A86,3),'Datos diario'!$L:$L,"&gt;0"),1),""))</f>
        <v/>
      </c>
    </row>
    <row r="87">
      <c r="A87" s="26" t="n"/>
      <c r="B87" s="22" t="n"/>
      <c r="C87" s="23">
        <f>IF(B87="","",IFERROR(INDEX(Perfil!$B$6:$B$17,MATCH(B87,Perfil!$A$6:$A$17,0)),""))</f>
        <v/>
      </c>
      <c r="D87" s="22" t="n"/>
      <c r="E87" s="22" t="n"/>
      <c r="F87" s="22" t="n"/>
      <c r="G87" s="22" t="n"/>
      <c r="H87" s="22" t="n"/>
      <c r="I87" s="22" t="n"/>
      <c r="J87" s="22" t="n"/>
      <c r="K87" s="22" t="n"/>
      <c r="L87" s="30">
        <f>IF(COUNT(D87:K87)=0,"",AVERAGE(D87:K87))</f>
        <v/>
      </c>
      <c r="M87" s="22" t="n"/>
      <c r="N87" s="22" t="n"/>
      <c r="O87" s="22" t="n"/>
      <c r="P87" s="22" t="n"/>
      <c r="Q87" s="31">
        <f>IF(OR($A87="",$C87=""),"",SUMIFS('Datos diario'!$E:$E,'Datos diario'!$C:$C,$C87,'Datos diario'!$B:$B,$A87-WEEKDAY($A87,3)))</f>
        <v/>
      </c>
      <c r="R87" s="32">
        <f>IF(OR($A87="",$C87=""),"",IFERROR(SUMIFS('Datos diario'!$F:$F,'Datos diario'!$C:$C,$C87,'Datos diario'!$B:$B,$A87-WEEKDAY($A87,3))/(SUMIFS('Datos diario'!$F:$F,'Datos diario'!$C:$C,$C87,'Datos diario'!$B:$B,$A87-WEEKDAY($A87,3))+SUMIFS('Datos diario'!$G:$G,'Datos diario'!$C:$C,$C87,'Datos diario'!$B:$B,$A87-WEEKDAY($A87,3))),""))</f>
        <v/>
      </c>
      <c r="S87" s="31">
        <f>IF(OR($A87="",$C87=""),"",SUMIFS('Datos diario'!$I:$I,'Datos diario'!$C:$C,$C87,'Datos diario'!$B:$B,$A87-WEEKDAY($A87,3)))</f>
        <v/>
      </c>
      <c r="T87" s="31">
        <f>IF(OR($A87="",$C87=""),"",SUMIFS('Datos diario'!$P:$P,'Datos diario'!$C:$C,$C87,'Datos diario'!$B:$B,$A87-WEEKDAY($A87,3)))</f>
        <v/>
      </c>
      <c r="U87" s="31">
        <f>IF(OR($A87="",$C87=""),"",ROUND(SUMIFS('Datos diario'!$U:$U,'Datos diario'!$C:$C,$C87,'Datos diario'!$B:$B,$A87-WEEKDAY($A87,3)),0))</f>
        <v/>
      </c>
      <c r="V87" s="30">
        <f>IF(OR($A87="",$C87=""),"",IFERROR(ROUND(AVERAGEIFS('Datos diario'!$M:$M,'Datos diario'!$C:$C,$C87,'Datos diario'!$B:$B,$A87-WEEKDAY($A87,3),'Datos diario'!$L:$L,"&gt;0"),1),""))</f>
        <v/>
      </c>
    </row>
    <row r="88">
      <c r="A88" s="26" t="n"/>
      <c r="B88" s="22" t="n"/>
      <c r="C88" s="23">
        <f>IF(B88="","",IFERROR(INDEX(Perfil!$B$6:$B$17,MATCH(B88,Perfil!$A$6:$A$17,0)),""))</f>
        <v/>
      </c>
      <c r="D88" s="22" t="n"/>
      <c r="E88" s="22" t="n"/>
      <c r="F88" s="22" t="n"/>
      <c r="G88" s="22" t="n"/>
      <c r="H88" s="22" t="n"/>
      <c r="I88" s="22" t="n"/>
      <c r="J88" s="22" t="n"/>
      <c r="K88" s="22" t="n"/>
      <c r="L88" s="30">
        <f>IF(COUNT(D88:K88)=0,"",AVERAGE(D88:K88))</f>
        <v/>
      </c>
      <c r="M88" s="22" t="n"/>
      <c r="N88" s="22" t="n"/>
      <c r="O88" s="22" t="n"/>
      <c r="P88" s="22" t="n"/>
      <c r="Q88" s="31">
        <f>IF(OR($A88="",$C88=""),"",SUMIFS('Datos diario'!$E:$E,'Datos diario'!$C:$C,$C88,'Datos diario'!$B:$B,$A88-WEEKDAY($A88,3)))</f>
        <v/>
      </c>
      <c r="R88" s="32">
        <f>IF(OR($A88="",$C88=""),"",IFERROR(SUMIFS('Datos diario'!$F:$F,'Datos diario'!$C:$C,$C88,'Datos diario'!$B:$B,$A88-WEEKDAY($A88,3))/(SUMIFS('Datos diario'!$F:$F,'Datos diario'!$C:$C,$C88,'Datos diario'!$B:$B,$A88-WEEKDAY($A88,3))+SUMIFS('Datos diario'!$G:$G,'Datos diario'!$C:$C,$C88,'Datos diario'!$B:$B,$A88-WEEKDAY($A88,3))),""))</f>
        <v/>
      </c>
      <c r="S88" s="31">
        <f>IF(OR($A88="",$C88=""),"",SUMIFS('Datos diario'!$I:$I,'Datos diario'!$C:$C,$C88,'Datos diario'!$B:$B,$A88-WEEKDAY($A88,3)))</f>
        <v/>
      </c>
      <c r="T88" s="31">
        <f>IF(OR($A88="",$C88=""),"",SUMIFS('Datos diario'!$P:$P,'Datos diario'!$C:$C,$C88,'Datos diario'!$B:$B,$A88-WEEKDAY($A88,3)))</f>
        <v/>
      </c>
      <c r="U88" s="31">
        <f>IF(OR($A88="",$C88=""),"",ROUND(SUMIFS('Datos diario'!$U:$U,'Datos diario'!$C:$C,$C88,'Datos diario'!$B:$B,$A88-WEEKDAY($A88,3)),0))</f>
        <v/>
      </c>
      <c r="V88" s="30">
        <f>IF(OR($A88="",$C88=""),"",IFERROR(ROUND(AVERAGEIFS('Datos diario'!$M:$M,'Datos diario'!$C:$C,$C88,'Datos diario'!$B:$B,$A88-WEEKDAY($A88,3),'Datos diario'!$L:$L,"&gt;0"),1),""))</f>
        <v/>
      </c>
    </row>
    <row r="89">
      <c r="A89" s="26" t="n"/>
      <c r="B89" s="22" t="n"/>
      <c r="C89" s="23">
        <f>IF(B89="","",IFERROR(INDEX(Perfil!$B$6:$B$17,MATCH(B89,Perfil!$A$6:$A$17,0)),""))</f>
        <v/>
      </c>
      <c r="D89" s="22" t="n"/>
      <c r="E89" s="22" t="n"/>
      <c r="F89" s="22" t="n"/>
      <c r="G89" s="22" t="n"/>
      <c r="H89" s="22" t="n"/>
      <c r="I89" s="22" t="n"/>
      <c r="J89" s="22" t="n"/>
      <c r="K89" s="22" t="n"/>
      <c r="L89" s="30">
        <f>IF(COUNT(D89:K89)=0,"",AVERAGE(D89:K89))</f>
        <v/>
      </c>
      <c r="M89" s="22" t="n"/>
      <c r="N89" s="22" t="n"/>
      <c r="O89" s="22" t="n"/>
      <c r="P89" s="22" t="n"/>
      <c r="Q89" s="31">
        <f>IF(OR($A89="",$C89=""),"",SUMIFS('Datos diario'!$E:$E,'Datos diario'!$C:$C,$C89,'Datos diario'!$B:$B,$A89-WEEKDAY($A89,3)))</f>
        <v/>
      </c>
      <c r="R89" s="32">
        <f>IF(OR($A89="",$C89=""),"",IFERROR(SUMIFS('Datos diario'!$F:$F,'Datos diario'!$C:$C,$C89,'Datos diario'!$B:$B,$A89-WEEKDAY($A89,3))/(SUMIFS('Datos diario'!$F:$F,'Datos diario'!$C:$C,$C89,'Datos diario'!$B:$B,$A89-WEEKDAY($A89,3))+SUMIFS('Datos diario'!$G:$G,'Datos diario'!$C:$C,$C89,'Datos diario'!$B:$B,$A89-WEEKDAY($A89,3))),""))</f>
        <v/>
      </c>
      <c r="S89" s="31">
        <f>IF(OR($A89="",$C89=""),"",SUMIFS('Datos diario'!$I:$I,'Datos diario'!$C:$C,$C89,'Datos diario'!$B:$B,$A89-WEEKDAY($A89,3)))</f>
        <v/>
      </c>
      <c r="T89" s="31">
        <f>IF(OR($A89="",$C89=""),"",SUMIFS('Datos diario'!$P:$P,'Datos diario'!$C:$C,$C89,'Datos diario'!$B:$B,$A89-WEEKDAY($A89,3)))</f>
        <v/>
      </c>
      <c r="U89" s="31">
        <f>IF(OR($A89="",$C89=""),"",ROUND(SUMIFS('Datos diario'!$U:$U,'Datos diario'!$C:$C,$C89,'Datos diario'!$B:$B,$A89-WEEKDAY($A89,3)),0))</f>
        <v/>
      </c>
      <c r="V89" s="30">
        <f>IF(OR($A89="",$C89=""),"",IFERROR(ROUND(AVERAGEIFS('Datos diario'!$M:$M,'Datos diario'!$C:$C,$C89,'Datos diario'!$B:$B,$A89-WEEKDAY($A89,3),'Datos diario'!$L:$L,"&gt;0"),1),""))</f>
        <v/>
      </c>
    </row>
    <row r="90">
      <c r="A90" s="26" t="n"/>
      <c r="B90" s="22" t="n"/>
      <c r="C90" s="23">
        <f>IF(B90="","",IFERROR(INDEX(Perfil!$B$6:$B$17,MATCH(B90,Perfil!$A$6:$A$17,0)),""))</f>
        <v/>
      </c>
      <c r="D90" s="22" t="n"/>
      <c r="E90" s="22" t="n"/>
      <c r="F90" s="22" t="n"/>
      <c r="G90" s="22" t="n"/>
      <c r="H90" s="22" t="n"/>
      <c r="I90" s="22" t="n"/>
      <c r="J90" s="22" t="n"/>
      <c r="K90" s="22" t="n"/>
      <c r="L90" s="30">
        <f>IF(COUNT(D90:K90)=0,"",AVERAGE(D90:K90))</f>
        <v/>
      </c>
      <c r="M90" s="22" t="n"/>
      <c r="N90" s="22" t="n"/>
      <c r="O90" s="22" t="n"/>
      <c r="P90" s="22" t="n"/>
      <c r="Q90" s="31">
        <f>IF(OR($A90="",$C90=""),"",SUMIFS('Datos diario'!$E:$E,'Datos diario'!$C:$C,$C90,'Datos diario'!$B:$B,$A90-WEEKDAY($A90,3)))</f>
        <v/>
      </c>
      <c r="R90" s="32">
        <f>IF(OR($A90="",$C90=""),"",IFERROR(SUMIFS('Datos diario'!$F:$F,'Datos diario'!$C:$C,$C90,'Datos diario'!$B:$B,$A90-WEEKDAY($A90,3))/(SUMIFS('Datos diario'!$F:$F,'Datos diario'!$C:$C,$C90,'Datos diario'!$B:$B,$A90-WEEKDAY($A90,3))+SUMIFS('Datos diario'!$G:$G,'Datos diario'!$C:$C,$C90,'Datos diario'!$B:$B,$A90-WEEKDAY($A90,3))),""))</f>
        <v/>
      </c>
      <c r="S90" s="31">
        <f>IF(OR($A90="",$C90=""),"",SUMIFS('Datos diario'!$I:$I,'Datos diario'!$C:$C,$C90,'Datos diario'!$B:$B,$A90-WEEKDAY($A90,3)))</f>
        <v/>
      </c>
      <c r="T90" s="31">
        <f>IF(OR($A90="",$C90=""),"",SUMIFS('Datos diario'!$P:$P,'Datos diario'!$C:$C,$C90,'Datos diario'!$B:$B,$A90-WEEKDAY($A90,3)))</f>
        <v/>
      </c>
      <c r="U90" s="31">
        <f>IF(OR($A90="",$C90=""),"",ROUND(SUMIFS('Datos diario'!$U:$U,'Datos diario'!$C:$C,$C90,'Datos diario'!$B:$B,$A90-WEEKDAY($A90,3)),0))</f>
        <v/>
      </c>
      <c r="V90" s="30">
        <f>IF(OR($A90="",$C90=""),"",IFERROR(ROUND(AVERAGEIFS('Datos diario'!$M:$M,'Datos diario'!$C:$C,$C90,'Datos diario'!$B:$B,$A90-WEEKDAY($A90,3),'Datos diario'!$L:$L,"&gt;0"),1),""))</f>
        <v/>
      </c>
    </row>
    <row r="91">
      <c r="A91" s="26" t="n"/>
      <c r="B91" s="22" t="n"/>
      <c r="C91" s="23">
        <f>IF(B91="","",IFERROR(INDEX(Perfil!$B$6:$B$17,MATCH(B91,Perfil!$A$6:$A$17,0)),""))</f>
        <v/>
      </c>
      <c r="D91" s="22" t="n"/>
      <c r="E91" s="22" t="n"/>
      <c r="F91" s="22" t="n"/>
      <c r="G91" s="22" t="n"/>
      <c r="H91" s="22" t="n"/>
      <c r="I91" s="22" t="n"/>
      <c r="J91" s="22" t="n"/>
      <c r="K91" s="22" t="n"/>
      <c r="L91" s="30">
        <f>IF(COUNT(D91:K91)=0,"",AVERAGE(D91:K91))</f>
        <v/>
      </c>
      <c r="M91" s="22" t="n"/>
      <c r="N91" s="22" t="n"/>
      <c r="O91" s="22" t="n"/>
      <c r="P91" s="22" t="n"/>
      <c r="Q91" s="31">
        <f>IF(OR($A91="",$C91=""),"",SUMIFS('Datos diario'!$E:$E,'Datos diario'!$C:$C,$C91,'Datos diario'!$B:$B,$A91-WEEKDAY($A91,3)))</f>
        <v/>
      </c>
      <c r="R91" s="32">
        <f>IF(OR($A91="",$C91=""),"",IFERROR(SUMIFS('Datos diario'!$F:$F,'Datos diario'!$C:$C,$C91,'Datos diario'!$B:$B,$A91-WEEKDAY($A91,3))/(SUMIFS('Datos diario'!$F:$F,'Datos diario'!$C:$C,$C91,'Datos diario'!$B:$B,$A91-WEEKDAY($A91,3))+SUMIFS('Datos diario'!$G:$G,'Datos diario'!$C:$C,$C91,'Datos diario'!$B:$B,$A91-WEEKDAY($A91,3))),""))</f>
        <v/>
      </c>
      <c r="S91" s="31">
        <f>IF(OR($A91="",$C91=""),"",SUMIFS('Datos diario'!$I:$I,'Datos diario'!$C:$C,$C91,'Datos diario'!$B:$B,$A91-WEEKDAY($A91,3)))</f>
        <v/>
      </c>
      <c r="T91" s="31">
        <f>IF(OR($A91="",$C91=""),"",SUMIFS('Datos diario'!$P:$P,'Datos diario'!$C:$C,$C91,'Datos diario'!$B:$B,$A91-WEEKDAY($A91,3)))</f>
        <v/>
      </c>
      <c r="U91" s="31">
        <f>IF(OR($A91="",$C91=""),"",ROUND(SUMIFS('Datos diario'!$U:$U,'Datos diario'!$C:$C,$C91,'Datos diario'!$B:$B,$A91-WEEKDAY($A91,3)),0))</f>
        <v/>
      </c>
      <c r="V91" s="30">
        <f>IF(OR($A91="",$C91=""),"",IFERROR(ROUND(AVERAGEIFS('Datos diario'!$M:$M,'Datos diario'!$C:$C,$C91,'Datos diario'!$B:$B,$A91-WEEKDAY($A91,3),'Datos diario'!$L:$L,"&gt;0"),1),""))</f>
        <v/>
      </c>
    </row>
    <row r="92">
      <c r="A92" s="26" t="n"/>
      <c r="B92" s="22" t="n"/>
      <c r="C92" s="23">
        <f>IF(B92="","",IFERROR(INDEX(Perfil!$B$6:$B$17,MATCH(B92,Perfil!$A$6:$A$17,0)),""))</f>
        <v/>
      </c>
      <c r="D92" s="22" t="n"/>
      <c r="E92" s="22" t="n"/>
      <c r="F92" s="22" t="n"/>
      <c r="G92" s="22" t="n"/>
      <c r="H92" s="22" t="n"/>
      <c r="I92" s="22" t="n"/>
      <c r="J92" s="22" t="n"/>
      <c r="K92" s="22" t="n"/>
      <c r="L92" s="30">
        <f>IF(COUNT(D92:K92)=0,"",AVERAGE(D92:K92))</f>
        <v/>
      </c>
      <c r="M92" s="22" t="n"/>
      <c r="N92" s="22" t="n"/>
      <c r="O92" s="22" t="n"/>
      <c r="P92" s="22" t="n"/>
      <c r="Q92" s="31">
        <f>IF(OR($A92="",$C92=""),"",SUMIFS('Datos diario'!$E:$E,'Datos diario'!$C:$C,$C92,'Datos diario'!$B:$B,$A92-WEEKDAY($A92,3)))</f>
        <v/>
      </c>
      <c r="R92" s="32">
        <f>IF(OR($A92="",$C92=""),"",IFERROR(SUMIFS('Datos diario'!$F:$F,'Datos diario'!$C:$C,$C92,'Datos diario'!$B:$B,$A92-WEEKDAY($A92,3))/(SUMIFS('Datos diario'!$F:$F,'Datos diario'!$C:$C,$C92,'Datos diario'!$B:$B,$A92-WEEKDAY($A92,3))+SUMIFS('Datos diario'!$G:$G,'Datos diario'!$C:$C,$C92,'Datos diario'!$B:$B,$A92-WEEKDAY($A92,3))),""))</f>
        <v/>
      </c>
      <c r="S92" s="31">
        <f>IF(OR($A92="",$C92=""),"",SUMIFS('Datos diario'!$I:$I,'Datos diario'!$C:$C,$C92,'Datos diario'!$B:$B,$A92-WEEKDAY($A92,3)))</f>
        <v/>
      </c>
      <c r="T92" s="31">
        <f>IF(OR($A92="",$C92=""),"",SUMIFS('Datos diario'!$P:$P,'Datos diario'!$C:$C,$C92,'Datos diario'!$B:$B,$A92-WEEKDAY($A92,3)))</f>
        <v/>
      </c>
      <c r="U92" s="31">
        <f>IF(OR($A92="",$C92=""),"",ROUND(SUMIFS('Datos diario'!$U:$U,'Datos diario'!$C:$C,$C92,'Datos diario'!$B:$B,$A92-WEEKDAY($A92,3)),0))</f>
        <v/>
      </c>
      <c r="V92" s="30">
        <f>IF(OR($A92="",$C92=""),"",IFERROR(ROUND(AVERAGEIFS('Datos diario'!$M:$M,'Datos diario'!$C:$C,$C92,'Datos diario'!$B:$B,$A92-WEEKDAY($A92,3),'Datos diario'!$L:$L,"&gt;0"),1),""))</f>
        <v/>
      </c>
    </row>
    <row r="93">
      <c r="A93" s="26" t="n"/>
      <c r="B93" s="22" t="n"/>
      <c r="C93" s="23">
        <f>IF(B93="","",IFERROR(INDEX(Perfil!$B$6:$B$17,MATCH(B93,Perfil!$A$6:$A$17,0)),""))</f>
        <v/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30">
        <f>IF(COUNT(D93:K93)=0,"",AVERAGE(D93:K93))</f>
        <v/>
      </c>
      <c r="M93" s="22" t="n"/>
      <c r="N93" s="22" t="n"/>
      <c r="O93" s="22" t="n"/>
      <c r="P93" s="22" t="n"/>
      <c r="Q93" s="31">
        <f>IF(OR($A93="",$C93=""),"",SUMIFS('Datos diario'!$E:$E,'Datos diario'!$C:$C,$C93,'Datos diario'!$B:$B,$A93-WEEKDAY($A93,3)))</f>
        <v/>
      </c>
      <c r="R93" s="32">
        <f>IF(OR($A93="",$C93=""),"",IFERROR(SUMIFS('Datos diario'!$F:$F,'Datos diario'!$C:$C,$C93,'Datos diario'!$B:$B,$A93-WEEKDAY($A93,3))/(SUMIFS('Datos diario'!$F:$F,'Datos diario'!$C:$C,$C93,'Datos diario'!$B:$B,$A93-WEEKDAY($A93,3))+SUMIFS('Datos diario'!$G:$G,'Datos diario'!$C:$C,$C93,'Datos diario'!$B:$B,$A93-WEEKDAY($A93,3))),""))</f>
        <v/>
      </c>
      <c r="S93" s="31">
        <f>IF(OR($A93="",$C93=""),"",SUMIFS('Datos diario'!$I:$I,'Datos diario'!$C:$C,$C93,'Datos diario'!$B:$B,$A93-WEEKDAY($A93,3)))</f>
        <v/>
      </c>
      <c r="T93" s="31">
        <f>IF(OR($A93="",$C93=""),"",SUMIFS('Datos diario'!$P:$P,'Datos diario'!$C:$C,$C93,'Datos diario'!$B:$B,$A93-WEEKDAY($A93,3)))</f>
        <v/>
      </c>
      <c r="U93" s="31">
        <f>IF(OR($A93="",$C93=""),"",ROUND(SUMIFS('Datos diario'!$U:$U,'Datos diario'!$C:$C,$C93,'Datos diario'!$B:$B,$A93-WEEKDAY($A93,3)),0))</f>
        <v/>
      </c>
      <c r="V93" s="30">
        <f>IF(OR($A93="",$C93=""),"",IFERROR(ROUND(AVERAGEIFS('Datos diario'!$M:$M,'Datos diario'!$C:$C,$C93,'Datos diario'!$B:$B,$A93-WEEKDAY($A93,3),'Datos diario'!$L:$L,"&gt;0"),1),""))</f>
        <v/>
      </c>
    </row>
    <row r="94">
      <c r="A94" s="26" t="n"/>
      <c r="B94" s="22" t="n"/>
      <c r="C94" s="23">
        <f>IF(B94="","",IFERROR(INDEX(Perfil!$B$6:$B$17,MATCH(B94,Perfil!$A$6:$A$17,0)),""))</f>
        <v/>
      </c>
      <c r="D94" s="22" t="n"/>
      <c r="E94" s="22" t="n"/>
      <c r="F94" s="22" t="n"/>
      <c r="G94" s="22" t="n"/>
      <c r="H94" s="22" t="n"/>
      <c r="I94" s="22" t="n"/>
      <c r="J94" s="22" t="n"/>
      <c r="K94" s="22" t="n"/>
      <c r="L94" s="30">
        <f>IF(COUNT(D94:K94)=0,"",AVERAGE(D94:K94))</f>
        <v/>
      </c>
      <c r="M94" s="22" t="n"/>
      <c r="N94" s="22" t="n"/>
      <c r="O94" s="22" t="n"/>
      <c r="P94" s="22" t="n"/>
      <c r="Q94" s="31">
        <f>IF(OR($A94="",$C94=""),"",SUMIFS('Datos diario'!$E:$E,'Datos diario'!$C:$C,$C94,'Datos diario'!$B:$B,$A94-WEEKDAY($A94,3)))</f>
        <v/>
      </c>
      <c r="R94" s="32">
        <f>IF(OR($A94="",$C94=""),"",IFERROR(SUMIFS('Datos diario'!$F:$F,'Datos diario'!$C:$C,$C94,'Datos diario'!$B:$B,$A94-WEEKDAY($A94,3))/(SUMIFS('Datos diario'!$F:$F,'Datos diario'!$C:$C,$C94,'Datos diario'!$B:$B,$A94-WEEKDAY($A94,3))+SUMIFS('Datos diario'!$G:$G,'Datos diario'!$C:$C,$C94,'Datos diario'!$B:$B,$A94-WEEKDAY($A94,3))),""))</f>
        <v/>
      </c>
      <c r="S94" s="31">
        <f>IF(OR($A94="",$C94=""),"",SUMIFS('Datos diario'!$I:$I,'Datos diario'!$C:$C,$C94,'Datos diario'!$B:$B,$A94-WEEKDAY($A94,3)))</f>
        <v/>
      </c>
      <c r="T94" s="31">
        <f>IF(OR($A94="",$C94=""),"",SUMIFS('Datos diario'!$P:$P,'Datos diario'!$C:$C,$C94,'Datos diario'!$B:$B,$A94-WEEKDAY($A94,3)))</f>
        <v/>
      </c>
      <c r="U94" s="31">
        <f>IF(OR($A94="",$C94=""),"",ROUND(SUMIFS('Datos diario'!$U:$U,'Datos diario'!$C:$C,$C94,'Datos diario'!$B:$B,$A94-WEEKDAY($A94,3)),0))</f>
        <v/>
      </c>
      <c r="V94" s="30">
        <f>IF(OR($A94="",$C94=""),"",IFERROR(ROUND(AVERAGEIFS('Datos diario'!$M:$M,'Datos diario'!$C:$C,$C94,'Datos diario'!$B:$B,$A94-WEEKDAY($A94,3),'Datos diario'!$L:$L,"&gt;0"),1),""))</f>
        <v/>
      </c>
    </row>
    <row r="95">
      <c r="A95" s="26" t="n"/>
      <c r="B95" s="22" t="n"/>
      <c r="C95" s="23">
        <f>IF(B95="","",IFERROR(INDEX(Perfil!$B$6:$B$17,MATCH(B95,Perfil!$A$6:$A$17,0)),""))</f>
        <v/>
      </c>
      <c r="D95" s="22" t="n"/>
      <c r="E95" s="22" t="n"/>
      <c r="F95" s="22" t="n"/>
      <c r="G95" s="22" t="n"/>
      <c r="H95" s="22" t="n"/>
      <c r="I95" s="22" t="n"/>
      <c r="J95" s="22" t="n"/>
      <c r="K95" s="22" t="n"/>
      <c r="L95" s="30">
        <f>IF(COUNT(D95:K95)=0,"",AVERAGE(D95:K95))</f>
        <v/>
      </c>
      <c r="M95" s="22" t="n"/>
      <c r="N95" s="22" t="n"/>
      <c r="O95" s="22" t="n"/>
      <c r="P95" s="22" t="n"/>
      <c r="Q95" s="31">
        <f>IF(OR($A95="",$C95=""),"",SUMIFS('Datos diario'!$E:$E,'Datos diario'!$C:$C,$C95,'Datos diario'!$B:$B,$A95-WEEKDAY($A95,3)))</f>
        <v/>
      </c>
      <c r="R95" s="32">
        <f>IF(OR($A95="",$C95=""),"",IFERROR(SUMIFS('Datos diario'!$F:$F,'Datos diario'!$C:$C,$C95,'Datos diario'!$B:$B,$A95-WEEKDAY($A95,3))/(SUMIFS('Datos diario'!$F:$F,'Datos diario'!$C:$C,$C95,'Datos diario'!$B:$B,$A95-WEEKDAY($A95,3))+SUMIFS('Datos diario'!$G:$G,'Datos diario'!$C:$C,$C95,'Datos diario'!$B:$B,$A95-WEEKDAY($A95,3))),""))</f>
        <v/>
      </c>
      <c r="S95" s="31">
        <f>IF(OR($A95="",$C95=""),"",SUMIFS('Datos diario'!$I:$I,'Datos diario'!$C:$C,$C95,'Datos diario'!$B:$B,$A95-WEEKDAY($A95,3)))</f>
        <v/>
      </c>
      <c r="T95" s="31">
        <f>IF(OR($A95="",$C95=""),"",SUMIFS('Datos diario'!$P:$P,'Datos diario'!$C:$C,$C95,'Datos diario'!$B:$B,$A95-WEEKDAY($A95,3)))</f>
        <v/>
      </c>
      <c r="U95" s="31">
        <f>IF(OR($A95="",$C95=""),"",ROUND(SUMIFS('Datos diario'!$U:$U,'Datos diario'!$C:$C,$C95,'Datos diario'!$B:$B,$A95-WEEKDAY($A95,3)),0))</f>
        <v/>
      </c>
      <c r="V95" s="30">
        <f>IF(OR($A95="",$C95=""),"",IFERROR(ROUND(AVERAGEIFS('Datos diario'!$M:$M,'Datos diario'!$C:$C,$C95,'Datos diario'!$B:$B,$A95-WEEKDAY($A95,3),'Datos diario'!$L:$L,"&gt;0"),1),""))</f>
        <v/>
      </c>
    </row>
    <row r="96">
      <c r="A96" s="26" t="n"/>
      <c r="B96" s="22" t="n"/>
      <c r="C96" s="23">
        <f>IF(B96="","",IFERROR(INDEX(Perfil!$B$6:$B$17,MATCH(B96,Perfil!$A$6:$A$17,0)),""))</f>
        <v/>
      </c>
      <c r="D96" s="22" t="n"/>
      <c r="E96" s="22" t="n"/>
      <c r="F96" s="22" t="n"/>
      <c r="G96" s="22" t="n"/>
      <c r="H96" s="22" t="n"/>
      <c r="I96" s="22" t="n"/>
      <c r="J96" s="22" t="n"/>
      <c r="K96" s="22" t="n"/>
      <c r="L96" s="30">
        <f>IF(COUNT(D96:K96)=0,"",AVERAGE(D96:K96))</f>
        <v/>
      </c>
      <c r="M96" s="22" t="n"/>
      <c r="N96" s="22" t="n"/>
      <c r="O96" s="22" t="n"/>
      <c r="P96" s="22" t="n"/>
      <c r="Q96" s="31">
        <f>IF(OR($A96="",$C96=""),"",SUMIFS('Datos diario'!$E:$E,'Datos diario'!$C:$C,$C96,'Datos diario'!$B:$B,$A96-WEEKDAY($A96,3)))</f>
        <v/>
      </c>
      <c r="R96" s="32">
        <f>IF(OR($A96="",$C96=""),"",IFERROR(SUMIFS('Datos diario'!$F:$F,'Datos diario'!$C:$C,$C96,'Datos diario'!$B:$B,$A96-WEEKDAY($A96,3))/(SUMIFS('Datos diario'!$F:$F,'Datos diario'!$C:$C,$C96,'Datos diario'!$B:$B,$A96-WEEKDAY($A96,3))+SUMIFS('Datos diario'!$G:$G,'Datos diario'!$C:$C,$C96,'Datos diario'!$B:$B,$A96-WEEKDAY($A96,3))),""))</f>
        <v/>
      </c>
      <c r="S96" s="31">
        <f>IF(OR($A96="",$C96=""),"",SUMIFS('Datos diario'!$I:$I,'Datos diario'!$C:$C,$C96,'Datos diario'!$B:$B,$A96-WEEKDAY($A96,3)))</f>
        <v/>
      </c>
      <c r="T96" s="31">
        <f>IF(OR($A96="",$C96=""),"",SUMIFS('Datos diario'!$P:$P,'Datos diario'!$C:$C,$C96,'Datos diario'!$B:$B,$A96-WEEKDAY($A96,3)))</f>
        <v/>
      </c>
      <c r="U96" s="31">
        <f>IF(OR($A96="",$C96=""),"",ROUND(SUMIFS('Datos diario'!$U:$U,'Datos diario'!$C:$C,$C96,'Datos diario'!$B:$B,$A96-WEEKDAY($A96,3)),0))</f>
        <v/>
      </c>
      <c r="V96" s="30">
        <f>IF(OR($A96="",$C96=""),"",IFERROR(ROUND(AVERAGEIFS('Datos diario'!$M:$M,'Datos diario'!$C:$C,$C96,'Datos diario'!$B:$B,$A96-WEEKDAY($A96,3),'Datos diario'!$L:$L,"&gt;0"),1),""))</f>
        <v/>
      </c>
    </row>
    <row r="97">
      <c r="A97" s="26" t="n"/>
      <c r="B97" s="22" t="n"/>
      <c r="C97" s="23">
        <f>IF(B97="","",IFERROR(INDEX(Perfil!$B$6:$B$17,MATCH(B97,Perfil!$A$6:$A$17,0)),""))</f>
        <v/>
      </c>
      <c r="D97" s="22" t="n"/>
      <c r="E97" s="22" t="n"/>
      <c r="F97" s="22" t="n"/>
      <c r="G97" s="22" t="n"/>
      <c r="H97" s="22" t="n"/>
      <c r="I97" s="22" t="n"/>
      <c r="J97" s="22" t="n"/>
      <c r="K97" s="22" t="n"/>
      <c r="L97" s="30">
        <f>IF(COUNT(D97:K97)=0,"",AVERAGE(D97:K97))</f>
        <v/>
      </c>
      <c r="M97" s="22" t="n"/>
      <c r="N97" s="22" t="n"/>
      <c r="O97" s="22" t="n"/>
      <c r="P97" s="22" t="n"/>
      <c r="Q97" s="31">
        <f>IF(OR($A97="",$C97=""),"",SUMIFS('Datos diario'!$E:$E,'Datos diario'!$C:$C,$C97,'Datos diario'!$B:$B,$A97-WEEKDAY($A97,3)))</f>
        <v/>
      </c>
      <c r="R97" s="32">
        <f>IF(OR($A97="",$C97=""),"",IFERROR(SUMIFS('Datos diario'!$F:$F,'Datos diario'!$C:$C,$C97,'Datos diario'!$B:$B,$A97-WEEKDAY($A97,3))/(SUMIFS('Datos diario'!$F:$F,'Datos diario'!$C:$C,$C97,'Datos diario'!$B:$B,$A97-WEEKDAY($A97,3))+SUMIFS('Datos diario'!$G:$G,'Datos diario'!$C:$C,$C97,'Datos diario'!$B:$B,$A97-WEEKDAY($A97,3))),""))</f>
        <v/>
      </c>
      <c r="S97" s="31">
        <f>IF(OR($A97="",$C97=""),"",SUMIFS('Datos diario'!$I:$I,'Datos diario'!$C:$C,$C97,'Datos diario'!$B:$B,$A97-WEEKDAY($A97,3)))</f>
        <v/>
      </c>
      <c r="T97" s="31">
        <f>IF(OR($A97="",$C97=""),"",SUMIFS('Datos diario'!$P:$P,'Datos diario'!$C:$C,$C97,'Datos diario'!$B:$B,$A97-WEEKDAY($A97,3)))</f>
        <v/>
      </c>
      <c r="U97" s="31">
        <f>IF(OR($A97="",$C97=""),"",ROUND(SUMIFS('Datos diario'!$U:$U,'Datos diario'!$C:$C,$C97,'Datos diario'!$B:$B,$A97-WEEKDAY($A97,3)),0))</f>
        <v/>
      </c>
      <c r="V97" s="30">
        <f>IF(OR($A97="",$C97=""),"",IFERROR(ROUND(AVERAGEIFS('Datos diario'!$M:$M,'Datos diario'!$C:$C,$C97,'Datos diario'!$B:$B,$A97-WEEKDAY($A97,3),'Datos diario'!$L:$L,"&gt;0"),1),""))</f>
        <v/>
      </c>
    </row>
    <row r="98">
      <c r="A98" s="26" t="n"/>
      <c r="B98" s="22" t="n"/>
      <c r="C98" s="23">
        <f>IF(B98="","",IFERROR(INDEX(Perfil!$B$6:$B$17,MATCH(B98,Perfil!$A$6:$A$17,0)),""))</f>
        <v/>
      </c>
      <c r="D98" s="22" t="n"/>
      <c r="E98" s="22" t="n"/>
      <c r="F98" s="22" t="n"/>
      <c r="G98" s="22" t="n"/>
      <c r="H98" s="22" t="n"/>
      <c r="I98" s="22" t="n"/>
      <c r="J98" s="22" t="n"/>
      <c r="K98" s="22" t="n"/>
      <c r="L98" s="30">
        <f>IF(COUNT(D98:K98)=0,"",AVERAGE(D98:K98))</f>
        <v/>
      </c>
      <c r="M98" s="22" t="n"/>
      <c r="N98" s="22" t="n"/>
      <c r="O98" s="22" t="n"/>
      <c r="P98" s="22" t="n"/>
      <c r="Q98" s="31">
        <f>IF(OR($A98="",$C98=""),"",SUMIFS('Datos diario'!$E:$E,'Datos diario'!$C:$C,$C98,'Datos diario'!$B:$B,$A98-WEEKDAY($A98,3)))</f>
        <v/>
      </c>
      <c r="R98" s="32">
        <f>IF(OR($A98="",$C98=""),"",IFERROR(SUMIFS('Datos diario'!$F:$F,'Datos diario'!$C:$C,$C98,'Datos diario'!$B:$B,$A98-WEEKDAY($A98,3))/(SUMIFS('Datos diario'!$F:$F,'Datos diario'!$C:$C,$C98,'Datos diario'!$B:$B,$A98-WEEKDAY($A98,3))+SUMIFS('Datos diario'!$G:$G,'Datos diario'!$C:$C,$C98,'Datos diario'!$B:$B,$A98-WEEKDAY($A98,3))),""))</f>
        <v/>
      </c>
      <c r="S98" s="31">
        <f>IF(OR($A98="",$C98=""),"",SUMIFS('Datos diario'!$I:$I,'Datos diario'!$C:$C,$C98,'Datos diario'!$B:$B,$A98-WEEKDAY($A98,3)))</f>
        <v/>
      </c>
      <c r="T98" s="31">
        <f>IF(OR($A98="",$C98=""),"",SUMIFS('Datos diario'!$P:$P,'Datos diario'!$C:$C,$C98,'Datos diario'!$B:$B,$A98-WEEKDAY($A98,3)))</f>
        <v/>
      </c>
      <c r="U98" s="31">
        <f>IF(OR($A98="",$C98=""),"",ROUND(SUMIFS('Datos diario'!$U:$U,'Datos diario'!$C:$C,$C98,'Datos diario'!$B:$B,$A98-WEEKDAY($A98,3)),0))</f>
        <v/>
      </c>
      <c r="V98" s="30">
        <f>IF(OR($A98="",$C98=""),"",IFERROR(ROUND(AVERAGEIFS('Datos diario'!$M:$M,'Datos diario'!$C:$C,$C98,'Datos diario'!$B:$B,$A98-WEEKDAY($A98,3),'Datos diario'!$L:$L,"&gt;0"),1),""))</f>
        <v/>
      </c>
    </row>
    <row r="99">
      <c r="A99" s="26" t="n"/>
      <c r="B99" s="22" t="n"/>
      <c r="C99" s="23">
        <f>IF(B99="","",IFERROR(INDEX(Perfil!$B$6:$B$17,MATCH(B99,Perfil!$A$6:$A$17,0)),""))</f>
        <v/>
      </c>
      <c r="D99" s="22" t="n"/>
      <c r="E99" s="22" t="n"/>
      <c r="F99" s="22" t="n"/>
      <c r="G99" s="22" t="n"/>
      <c r="H99" s="22" t="n"/>
      <c r="I99" s="22" t="n"/>
      <c r="J99" s="22" t="n"/>
      <c r="K99" s="22" t="n"/>
      <c r="L99" s="30">
        <f>IF(COUNT(D99:K99)=0,"",AVERAGE(D99:K99))</f>
        <v/>
      </c>
      <c r="M99" s="22" t="n"/>
      <c r="N99" s="22" t="n"/>
      <c r="O99" s="22" t="n"/>
      <c r="P99" s="22" t="n"/>
      <c r="Q99" s="31">
        <f>IF(OR($A99="",$C99=""),"",SUMIFS('Datos diario'!$E:$E,'Datos diario'!$C:$C,$C99,'Datos diario'!$B:$B,$A99-WEEKDAY($A99,3)))</f>
        <v/>
      </c>
      <c r="R99" s="32">
        <f>IF(OR($A99="",$C99=""),"",IFERROR(SUMIFS('Datos diario'!$F:$F,'Datos diario'!$C:$C,$C99,'Datos diario'!$B:$B,$A99-WEEKDAY($A99,3))/(SUMIFS('Datos diario'!$F:$F,'Datos diario'!$C:$C,$C99,'Datos diario'!$B:$B,$A99-WEEKDAY($A99,3))+SUMIFS('Datos diario'!$G:$G,'Datos diario'!$C:$C,$C99,'Datos diario'!$B:$B,$A99-WEEKDAY($A99,3))),""))</f>
        <v/>
      </c>
      <c r="S99" s="31">
        <f>IF(OR($A99="",$C99=""),"",SUMIFS('Datos diario'!$I:$I,'Datos diario'!$C:$C,$C99,'Datos diario'!$B:$B,$A99-WEEKDAY($A99,3)))</f>
        <v/>
      </c>
      <c r="T99" s="31">
        <f>IF(OR($A99="",$C99=""),"",SUMIFS('Datos diario'!$P:$P,'Datos diario'!$C:$C,$C99,'Datos diario'!$B:$B,$A99-WEEKDAY($A99,3)))</f>
        <v/>
      </c>
      <c r="U99" s="31">
        <f>IF(OR($A99="",$C99=""),"",ROUND(SUMIFS('Datos diario'!$U:$U,'Datos diario'!$C:$C,$C99,'Datos diario'!$B:$B,$A99-WEEKDAY($A99,3)),0))</f>
        <v/>
      </c>
      <c r="V99" s="30">
        <f>IF(OR($A99="",$C99=""),"",IFERROR(ROUND(AVERAGEIFS('Datos diario'!$M:$M,'Datos diario'!$C:$C,$C99,'Datos diario'!$B:$B,$A99-WEEKDAY($A99,3),'Datos diario'!$L:$L,"&gt;0"),1),""))</f>
        <v/>
      </c>
    </row>
    <row r="100">
      <c r="A100" s="26" t="n"/>
      <c r="B100" s="22" t="n"/>
      <c r="C100" s="23">
        <f>IF(B100="","",IFERROR(INDEX(Perfil!$B$6:$B$17,MATCH(B100,Perfil!$A$6:$A$17,0)),""))</f>
        <v/>
      </c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30">
        <f>IF(COUNT(D100:K100)=0,"",AVERAGE(D100:K100))</f>
        <v/>
      </c>
      <c r="M100" s="22" t="n"/>
      <c r="N100" s="22" t="n"/>
      <c r="O100" s="22" t="n"/>
      <c r="P100" s="22" t="n"/>
      <c r="Q100" s="31">
        <f>IF(OR($A100="",$C100=""),"",SUMIFS('Datos diario'!$E:$E,'Datos diario'!$C:$C,$C100,'Datos diario'!$B:$B,$A100-WEEKDAY($A100,3)))</f>
        <v/>
      </c>
      <c r="R100" s="32">
        <f>IF(OR($A100="",$C100=""),"",IFERROR(SUMIFS('Datos diario'!$F:$F,'Datos diario'!$C:$C,$C100,'Datos diario'!$B:$B,$A100-WEEKDAY($A100,3))/(SUMIFS('Datos diario'!$F:$F,'Datos diario'!$C:$C,$C100,'Datos diario'!$B:$B,$A100-WEEKDAY($A100,3))+SUMIFS('Datos diario'!$G:$G,'Datos diario'!$C:$C,$C100,'Datos diario'!$B:$B,$A100-WEEKDAY($A100,3))),""))</f>
        <v/>
      </c>
      <c r="S100" s="31">
        <f>IF(OR($A100="",$C100=""),"",SUMIFS('Datos diario'!$I:$I,'Datos diario'!$C:$C,$C100,'Datos diario'!$B:$B,$A100-WEEKDAY($A100,3)))</f>
        <v/>
      </c>
      <c r="T100" s="31">
        <f>IF(OR($A100="",$C100=""),"",SUMIFS('Datos diario'!$P:$P,'Datos diario'!$C:$C,$C100,'Datos diario'!$B:$B,$A100-WEEKDAY($A100,3)))</f>
        <v/>
      </c>
      <c r="U100" s="31">
        <f>IF(OR($A100="",$C100=""),"",ROUND(SUMIFS('Datos diario'!$U:$U,'Datos diario'!$C:$C,$C100,'Datos diario'!$B:$B,$A100-WEEKDAY($A100,3)),0))</f>
        <v/>
      </c>
      <c r="V100" s="30">
        <f>IF(OR($A100="",$C100=""),"",IFERROR(ROUND(AVERAGEIFS('Datos diario'!$M:$M,'Datos diario'!$C:$C,$C100,'Datos diario'!$B:$B,$A100-WEEKDAY($A100,3),'Datos diario'!$L:$L,"&gt;0"),1),""))</f>
        <v/>
      </c>
    </row>
    <row r="101">
      <c r="A101" s="26" t="n"/>
      <c r="B101" s="22" t="n"/>
      <c r="C101" s="23">
        <f>IF(B101="","",IFERROR(INDEX(Perfil!$B$6:$B$17,MATCH(B101,Perfil!$A$6:$A$17,0)),""))</f>
        <v/>
      </c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30">
        <f>IF(COUNT(D101:K101)=0,"",AVERAGE(D101:K101))</f>
        <v/>
      </c>
      <c r="M101" s="22" t="n"/>
      <c r="N101" s="22" t="n"/>
      <c r="O101" s="22" t="n"/>
      <c r="P101" s="22" t="n"/>
      <c r="Q101" s="31">
        <f>IF(OR($A101="",$C101=""),"",SUMIFS('Datos diario'!$E:$E,'Datos diario'!$C:$C,$C101,'Datos diario'!$B:$B,$A101-WEEKDAY($A101,3)))</f>
        <v/>
      </c>
      <c r="R101" s="32">
        <f>IF(OR($A101="",$C101=""),"",IFERROR(SUMIFS('Datos diario'!$F:$F,'Datos diario'!$C:$C,$C101,'Datos diario'!$B:$B,$A101-WEEKDAY($A101,3))/(SUMIFS('Datos diario'!$F:$F,'Datos diario'!$C:$C,$C101,'Datos diario'!$B:$B,$A101-WEEKDAY($A101,3))+SUMIFS('Datos diario'!$G:$G,'Datos diario'!$C:$C,$C101,'Datos diario'!$B:$B,$A101-WEEKDAY($A101,3))),""))</f>
        <v/>
      </c>
      <c r="S101" s="31">
        <f>IF(OR($A101="",$C101=""),"",SUMIFS('Datos diario'!$I:$I,'Datos diario'!$C:$C,$C101,'Datos diario'!$B:$B,$A101-WEEKDAY($A101,3)))</f>
        <v/>
      </c>
      <c r="T101" s="31">
        <f>IF(OR($A101="",$C101=""),"",SUMIFS('Datos diario'!$P:$P,'Datos diario'!$C:$C,$C101,'Datos diario'!$B:$B,$A101-WEEKDAY($A101,3)))</f>
        <v/>
      </c>
      <c r="U101" s="31">
        <f>IF(OR($A101="",$C101=""),"",ROUND(SUMIFS('Datos diario'!$U:$U,'Datos diario'!$C:$C,$C101,'Datos diario'!$B:$B,$A101-WEEKDAY($A101,3)),0))</f>
        <v/>
      </c>
      <c r="V101" s="30">
        <f>IF(OR($A101="",$C101=""),"",IFERROR(ROUND(AVERAGEIFS('Datos diario'!$M:$M,'Datos diario'!$C:$C,$C101,'Datos diario'!$B:$B,$A101-WEEKDAY($A101,3),'Datos diario'!$L:$L,"&gt;0"),1),""))</f>
        <v/>
      </c>
    </row>
    <row r="102">
      <c r="A102" s="26" t="n"/>
      <c r="B102" s="22" t="n"/>
      <c r="C102" s="23">
        <f>IF(B102="","",IFERROR(INDEX(Perfil!$B$6:$B$17,MATCH(B102,Perfil!$A$6:$A$17,0)),""))</f>
        <v/>
      </c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30">
        <f>IF(COUNT(D102:K102)=0,"",AVERAGE(D102:K102))</f>
        <v/>
      </c>
      <c r="M102" s="22" t="n"/>
      <c r="N102" s="22" t="n"/>
      <c r="O102" s="22" t="n"/>
      <c r="P102" s="22" t="n"/>
      <c r="Q102" s="31">
        <f>IF(OR($A102="",$C102=""),"",SUMIFS('Datos diario'!$E:$E,'Datos diario'!$C:$C,$C102,'Datos diario'!$B:$B,$A102-WEEKDAY($A102,3)))</f>
        <v/>
      </c>
      <c r="R102" s="32">
        <f>IF(OR($A102="",$C102=""),"",IFERROR(SUMIFS('Datos diario'!$F:$F,'Datos diario'!$C:$C,$C102,'Datos diario'!$B:$B,$A102-WEEKDAY($A102,3))/(SUMIFS('Datos diario'!$F:$F,'Datos diario'!$C:$C,$C102,'Datos diario'!$B:$B,$A102-WEEKDAY($A102,3))+SUMIFS('Datos diario'!$G:$G,'Datos diario'!$C:$C,$C102,'Datos diario'!$B:$B,$A102-WEEKDAY($A102,3))),""))</f>
        <v/>
      </c>
      <c r="S102" s="31">
        <f>IF(OR($A102="",$C102=""),"",SUMIFS('Datos diario'!$I:$I,'Datos diario'!$C:$C,$C102,'Datos diario'!$B:$B,$A102-WEEKDAY($A102,3)))</f>
        <v/>
      </c>
      <c r="T102" s="31">
        <f>IF(OR($A102="",$C102=""),"",SUMIFS('Datos diario'!$P:$P,'Datos diario'!$C:$C,$C102,'Datos diario'!$B:$B,$A102-WEEKDAY($A102,3)))</f>
        <v/>
      </c>
      <c r="U102" s="31">
        <f>IF(OR($A102="",$C102=""),"",ROUND(SUMIFS('Datos diario'!$U:$U,'Datos diario'!$C:$C,$C102,'Datos diario'!$B:$B,$A102-WEEKDAY($A102,3)),0))</f>
        <v/>
      </c>
      <c r="V102" s="30">
        <f>IF(OR($A102="",$C102=""),"",IFERROR(ROUND(AVERAGEIFS('Datos diario'!$M:$M,'Datos diario'!$C:$C,$C102,'Datos diario'!$B:$B,$A102-WEEKDAY($A102,3),'Datos diario'!$L:$L,"&gt;0"),1),""))</f>
        <v/>
      </c>
    </row>
    <row r="103">
      <c r="A103" s="26" t="n"/>
      <c r="B103" s="22" t="n"/>
      <c r="C103" s="23">
        <f>IF(B103="","",IFERROR(INDEX(Perfil!$B$6:$B$17,MATCH(B103,Perfil!$A$6:$A$17,0)),""))</f>
        <v/>
      </c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30">
        <f>IF(COUNT(D103:K103)=0,"",AVERAGE(D103:K103))</f>
        <v/>
      </c>
      <c r="M103" s="22" t="n"/>
      <c r="N103" s="22" t="n"/>
      <c r="O103" s="22" t="n"/>
      <c r="P103" s="22" t="n"/>
      <c r="Q103" s="31">
        <f>IF(OR($A103="",$C103=""),"",SUMIFS('Datos diario'!$E:$E,'Datos diario'!$C:$C,$C103,'Datos diario'!$B:$B,$A103-WEEKDAY($A103,3)))</f>
        <v/>
      </c>
      <c r="R103" s="32">
        <f>IF(OR($A103="",$C103=""),"",IFERROR(SUMIFS('Datos diario'!$F:$F,'Datos diario'!$C:$C,$C103,'Datos diario'!$B:$B,$A103-WEEKDAY($A103,3))/(SUMIFS('Datos diario'!$F:$F,'Datos diario'!$C:$C,$C103,'Datos diario'!$B:$B,$A103-WEEKDAY($A103,3))+SUMIFS('Datos diario'!$G:$G,'Datos diario'!$C:$C,$C103,'Datos diario'!$B:$B,$A103-WEEKDAY($A103,3))),""))</f>
        <v/>
      </c>
      <c r="S103" s="31">
        <f>IF(OR($A103="",$C103=""),"",SUMIFS('Datos diario'!$I:$I,'Datos diario'!$C:$C,$C103,'Datos diario'!$B:$B,$A103-WEEKDAY($A103,3)))</f>
        <v/>
      </c>
      <c r="T103" s="31">
        <f>IF(OR($A103="",$C103=""),"",SUMIFS('Datos diario'!$P:$P,'Datos diario'!$C:$C,$C103,'Datos diario'!$B:$B,$A103-WEEKDAY($A103,3)))</f>
        <v/>
      </c>
      <c r="U103" s="31">
        <f>IF(OR($A103="",$C103=""),"",ROUND(SUMIFS('Datos diario'!$U:$U,'Datos diario'!$C:$C,$C103,'Datos diario'!$B:$B,$A103-WEEKDAY($A103,3)),0))</f>
        <v/>
      </c>
      <c r="V103" s="30">
        <f>IF(OR($A103="",$C103=""),"",IFERROR(ROUND(AVERAGEIFS('Datos diario'!$M:$M,'Datos diario'!$C:$C,$C103,'Datos diario'!$B:$B,$A103-WEEKDAY($A103,3),'Datos diario'!$L:$L,"&gt;0"),1),""))</f>
        <v/>
      </c>
    </row>
    <row r="104">
      <c r="A104" s="26" t="n"/>
      <c r="B104" s="22" t="n"/>
      <c r="C104" s="23">
        <f>IF(B104="","",IFERROR(INDEX(Perfil!$B$6:$B$17,MATCH(B104,Perfil!$A$6:$A$17,0)),""))</f>
        <v/>
      </c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30">
        <f>IF(COUNT(D104:K104)=0,"",AVERAGE(D104:K104))</f>
        <v/>
      </c>
      <c r="M104" s="22" t="n"/>
      <c r="N104" s="22" t="n"/>
      <c r="O104" s="22" t="n"/>
      <c r="P104" s="22" t="n"/>
      <c r="Q104" s="31">
        <f>IF(OR($A104="",$C104=""),"",SUMIFS('Datos diario'!$E:$E,'Datos diario'!$C:$C,$C104,'Datos diario'!$B:$B,$A104-WEEKDAY($A104,3)))</f>
        <v/>
      </c>
      <c r="R104" s="32">
        <f>IF(OR($A104="",$C104=""),"",IFERROR(SUMIFS('Datos diario'!$F:$F,'Datos diario'!$C:$C,$C104,'Datos diario'!$B:$B,$A104-WEEKDAY($A104,3))/(SUMIFS('Datos diario'!$F:$F,'Datos diario'!$C:$C,$C104,'Datos diario'!$B:$B,$A104-WEEKDAY($A104,3))+SUMIFS('Datos diario'!$G:$G,'Datos diario'!$C:$C,$C104,'Datos diario'!$B:$B,$A104-WEEKDAY($A104,3))),""))</f>
        <v/>
      </c>
      <c r="S104" s="31">
        <f>IF(OR($A104="",$C104=""),"",SUMIFS('Datos diario'!$I:$I,'Datos diario'!$C:$C,$C104,'Datos diario'!$B:$B,$A104-WEEKDAY($A104,3)))</f>
        <v/>
      </c>
      <c r="T104" s="31">
        <f>IF(OR($A104="",$C104=""),"",SUMIFS('Datos diario'!$P:$P,'Datos diario'!$C:$C,$C104,'Datos diario'!$B:$B,$A104-WEEKDAY($A104,3)))</f>
        <v/>
      </c>
      <c r="U104" s="31">
        <f>IF(OR($A104="",$C104=""),"",ROUND(SUMIFS('Datos diario'!$U:$U,'Datos diario'!$C:$C,$C104,'Datos diario'!$B:$B,$A104-WEEKDAY($A104,3)),0))</f>
        <v/>
      </c>
      <c r="V104" s="30">
        <f>IF(OR($A104="",$C104=""),"",IFERROR(ROUND(AVERAGEIFS('Datos diario'!$M:$M,'Datos diario'!$C:$C,$C104,'Datos diario'!$B:$B,$A104-WEEKDAY($A104,3),'Datos diario'!$L:$L,"&gt;0"),1),""))</f>
        <v/>
      </c>
    </row>
    <row r="105">
      <c r="A105" s="26" t="n"/>
      <c r="B105" s="22" t="n"/>
      <c r="C105" s="23">
        <f>IF(B105="","",IFERROR(INDEX(Perfil!$B$6:$B$17,MATCH(B105,Perfil!$A$6:$A$17,0)),""))</f>
        <v/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30">
        <f>IF(COUNT(D105:K105)=0,"",AVERAGE(D105:K105))</f>
        <v/>
      </c>
      <c r="M105" s="22" t="n"/>
      <c r="N105" s="22" t="n"/>
      <c r="O105" s="22" t="n"/>
      <c r="P105" s="22" t="n"/>
      <c r="Q105" s="31">
        <f>IF(OR($A105="",$C105=""),"",SUMIFS('Datos diario'!$E:$E,'Datos diario'!$C:$C,$C105,'Datos diario'!$B:$B,$A105-WEEKDAY($A105,3)))</f>
        <v/>
      </c>
      <c r="R105" s="32">
        <f>IF(OR($A105="",$C105=""),"",IFERROR(SUMIFS('Datos diario'!$F:$F,'Datos diario'!$C:$C,$C105,'Datos diario'!$B:$B,$A105-WEEKDAY($A105,3))/(SUMIFS('Datos diario'!$F:$F,'Datos diario'!$C:$C,$C105,'Datos diario'!$B:$B,$A105-WEEKDAY($A105,3))+SUMIFS('Datos diario'!$G:$G,'Datos diario'!$C:$C,$C105,'Datos diario'!$B:$B,$A105-WEEKDAY($A105,3))),""))</f>
        <v/>
      </c>
      <c r="S105" s="31">
        <f>IF(OR($A105="",$C105=""),"",SUMIFS('Datos diario'!$I:$I,'Datos diario'!$C:$C,$C105,'Datos diario'!$B:$B,$A105-WEEKDAY($A105,3)))</f>
        <v/>
      </c>
      <c r="T105" s="31">
        <f>IF(OR($A105="",$C105=""),"",SUMIFS('Datos diario'!$P:$P,'Datos diario'!$C:$C,$C105,'Datos diario'!$B:$B,$A105-WEEKDAY($A105,3)))</f>
        <v/>
      </c>
      <c r="U105" s="31">
        <f>IF(OR($A105="",$C105=""),"",ROUND(SUMIFS('Datos diario'!$U:$U,'Datos diario'!$C:$C,$C105,'Datos diario'!$B:$B,$A105-WEEKDAY($A105,3)),0))</f>
        <v/>
      </c>
      <c r="V105" s="30">
        <f>IF(OR($A105="",$C105=""),"",IFERROR(ROUND(AVERAGEIFS('Datos diario'!$M:$M,'Datos diario'!$C:$C,$C105,'Datos diario'!$B:$B,$A105-WEEKDAY($A105,3),'Datos diario'!$L:$L,"&gt;0"),1),""))</f>
        <v/>
      </c>
    </row>
    <row r="106">
      <c r="A106" s="26" t="n"/>
      <c r="B106" s="22" t="n"/>
      <c r="C106" s="23">
        <f>IF(B106="","",IFERROR(INDEX(Perfil!$B$6:$B$17,MATCH(B106,Perfil!$A$6:$A$17,0)),""))</f>
        <v/>
      </c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30">
        <f>IF(COUNT(D106:K106)=0,"",AVERAGE(D106:K106))</f>
        <v/>
      </c>
      <c r="M106" s="22" t="n"/>
      <c r="N106" s="22" t="n"/>
      <c r="O106" s="22" t="n"/>
      <c r="P106" s="22" t="n"/>
      <c r="Q106" s="31">
        <f>IF(OR($A106="",$C106=""),"",SUMIFS('Datos diario'!$E:$E,'Datos diario'!$C:$C,$C106,'Datos diario'!$B:$B,$A106-WEEKDAY($A106,3)))</f>
        <v/>
      </c>
      <c r="R106" s="32">
        <f>IF(OR($A106="",$C106=""),"",IFERROR(SUMIFS('Datos diario'!$F:$F,'Datos diario'!$C:$C,$C106,'Datos diario'!$B:$B,$A106-WEEKDAY($A106,3))/(SUMIFS('Datos diario'!$F:$F,'Datos diario'!$C:$C,$C106,'Datos diario'!$B:$B,$A106-WEEKDAY($A106,3))+SUMIFS('Datos diario'!$G:$G,'Datos diario'!$C:$C,$C106,'Datos diario'!$B:$B,$A106-WEEKDAY($A106,3))),""))</f>
        <v/>
      </c>
      <c r="S106" s="31">
        <f>IF(OR($A106="",$C106=""),"",SUMIFS('Datos diario'!$I:$I,'Datos diario'!$C:$C,$C106,'Datos diario'!$B:$B,$A106-WEEKDAY($A106,3)))</f>
        <v/>
      </c>
      <c r="T106" s="31">
        <f>IF(OR($A106="",$C106=""),"",SUMIFS('Datos diario'!$P:$P,'Datos diario'!$C:$C,$C106,'Datos diario'!$B:$B,$A106-WEEKDAY($A106,3)))</f>
        <v/>
      </c>
      <c r="U106" s="31">
        <f>IF(OR($A106="",$C106=""),"",ROUND(SUMIFS('Datos diario'!$U:$U,'Datos diario'!$C:$C,$C106,'Datos diario'!$B:$B,$A106-WEEKDAY($A106,3)),0))</f>
        <v/>
      </c>
      <c r="V106" s="30">
        <f>IF(OR($A106="",$C106=""),"",IFERROR(ROUND(AVERAGEIFS('Datos diario'!$M:$M,'Datos diario'!$C:$C,$C106,'Datos diario'!$B:$B,$A106-WEEKDAY($A106,3),'Datos diario'!$L:$L,"&gt;0"),1),""))</f>
        <v/>
      </c>
    </row>
    <row r="107">
      <c r="A107" s="26" t="n"/>
      <c r="B107" s="22" t="n"/>
      <c r="C107" s="23">
        <f>IF(B107="","",IFERROR(INDEX(Perfil!$B$6:$B$17,MATCH(B107,Perfil!$A$6:$A$17,0)),""))</f>
        <v/>
      </c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30">
        <f>IF(COUNT(D107:K107)=0,"",AVERAGE(D107:K107))</f>
        <v/>
      </c>
      <c r="M107" s="22" t="n"/>
      <c r="N107" s="22" t="n"/>
      <c r="O107" s="22" t="n"/>
      <c r="P107" s="22" t="n"/>
      <c r="Q107" s="31">
        <f>IF(OR($A107="",$C107=""),"",SUMIFS('Datos diario'!$E:$E,'Datos diario'!$C:$C,$C107,'Datos diario'!$B:$B,$A107-WEEKDAY($A107,3)))</f>
        <v/>
      </c>
      <c r="R107" s="32">
        <f>IF(OR($A107="",$C107=""),"",IFERROR(SUMIFS('Datos diario'!$F:$F,'Datos diario'!$C:$C,$C107,'Datos diario'!$B:$B,$A107-WEEKDAY($A107,3))/(SUMIFS('Datos diario'!$F:$F,'Datos diario'!$C:$C,$C107,'Datos diario'!$B:$B,$A107-WEEKDAY($A107,3))+SUMIFS('Datos diario'!$G:$G,'Datos diario'!$C:$C,$C107,'Datos diario'!$B:$B,$A107-WEEKDAY($A107,3))),""))</f>
        <v/>
      </c>
      <c r="S107" s="31">
        <f>IF(OR($A107="",$C107=""),"",SUMIFS('Datos diario'!$I:$I,'Datos diario'!$C:$C,$C107,'Datos diario'!$B:$B,$A107-WEEKDAY($A107,3)))</f>
        <v/>
      </c>
      <c r="T107" s="31">
        <f>IF(OR($A107="",$C107=""),"",SUMIFS('Datos diario'!$P:$P,'Datos diario'!$C:$C,$C107,'Datos diario'!$B:$B,$A107-WEEKDAY($A107,3)))</f>
        <v/>
      </c>
      <c r="U107" s="31">
        <f>IF(OR($A107="",$C107=""),"",ROUND(SUMIFS('Datos diario'!$U:$U,'Datos diario'!$C:$C,$C107,'Datos diario'!$B:$B,$A107-WEEKDAY($A107,3)),0))</f>
        <v/>
      </c>
      <c r="V107" s="30">
        <f>IF(OR($A107="",$C107=""),"",IFERROR(ROUND(AVERAGEIFS('Datos diario'!$M:$M,'Datos diario'!$C:$C,$C107,'Datos diario'!$B:$B,$A107-WEEKDAY($A107,3),'Datos diario'!$L:$L,"&gt;0"),1),""))</f>
        <v/>
      </c>
    </row>
    <row r="108">
      <c r="A108" s="26" t="n"/>
      <c r="B108" s="22" t="n"/>
      <c r="C108" s="23">
        <f>IF(B108="","",IFERROR(INDEX(Perfil!$B$6:$B$17,MATCH(B108,Perfil!$A$6:$A$17,0)),""))</f>
        <v/>
      </c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30">
        <f>IF(COUNT(D108:K108)=0,"",AVERAGE(D108:K108))</f>
        <v/>
      </c>
      <c r="M108" s="22" t="n"/>
      <c r="N108" s="22" t="n"/>
      <c r="O108" s="22" t="n"/>
      <c r="P108" s="22" t="n"/>
      <c r="Q108" s="31">
        <f>IF(OR($A108="",$C108=""),"",SUMIFS('Datos diario'!$E:$E,'Datos diario'!$C:$C,$C108,'Datos diario'!$B:$B,$A108-WEEKDAY($A108,3)))</f>
        <v/>
      </c>
      <c r="R108" s="32">
        <f>IF(OR($A108="",$C108=""),"",IFERROR(SUMIFS('Datos diario'!$F:$F,'Datos diario'!$C:$C,$C108,'Datos diario'!$B:$B,$A108-WEEKDAY($A108,3))/(SUMIFS('Datos diario'!$F:$F,'Datos diario'!$C:$C,$C108,'Datos diario'!$B:$B,$A108-WEEKDAY($A108,3))+SUMIFS('Datos diario'!$G:$G,'Datos diario'!$C:$C,$C108,'Datos diario'!$B:$B,$A108-WEEKDAY($A108,3))),""))</f>
        <v/>
      </c>
      <c r="S108" s="31">
        <f>IF(OR($A108="",$C108=""),"",SUMIFS('Datos diario'!$I:$I,'Datos diario'!$C:$C,$C108,'Datos diario'!$B:$B,$A108-WEEKDAY($A108,3)))</f>
        <v/>
      </c>
      <c r="T108" s="31">
        <f>IF(OR($A108="",$C108=""),"",SUMIFS('Datos diario'!$P:$P,'Datos diario'!$C:$C,$C108,'Datos diario'!$B:$B,$A108-WEEKDAY($A108,3)))</f>
        <v/>
      </c>
      <c r="U108" s="31">
        <f>IF(OR($A108="",$C108=""),"",ROUND(SUMIFS('Datos diario'!$U:$U,'Datos diario'!$C:$C,$C108,'Datos diario'!$B:$B,$A108-WEEKDAY($A108,3)),0))</f>
        <v/>
      </c>
      <c r="V108" s="30">
        <f>IF(OR($A108="",$C108=""),"",IFERROR(ROUND(AVERAGEIFS('Datos diario'!$M:$M,'Datos diario'!$C:$C,$C108,'Datos diario'!$B:$B,$A108-WEEKDAY($A108,3),'Datos diario'!$L:$L,"&gt;0"),1),""))</f>
        <v/>
      </c>
    </row>
    <row r="109">
      <c r="A109" s="26" t="n"/>
      <c r="B109" s="22" t="n"/>
      <c r="C109" s="23">
        <f>IF(B109="","",IFERROR(INDEX(Perfil!$B$6:$B$17,MATCH(B109,Perfil!$A$6:$A$17,0)),""))</f>
        <v/>
      </c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30">
        <f>IF(COUNT(D109:K109)=0,"",AVERAGE(D109:K109))</f>
        <v/>
      </c>
      <c r="M109" s="22" t="n"/>
      <c r="N109" s="22" t="n"/>
      <c r="O109" s="22" t="n"/>
      <c r="P109" s="22" t="n"/>
      <c r="Q109" s="31">
        <f>IF(OR($A109="",$C109=""),"",SUMIFS('Datos diario'!$E:$E,'Datos diario'!$C:$C,$C109,'Datos diario'!$B:$B,$A109-WEEKDAY($A109,3)))</f>
        <v/>
      </c>
      <c r="R109" s="32">
        <f>IF(OR($A109="",$C109=""),"",IFERROR(SUMIFS('Datos diario'!$F:$F,'Datos diario'!$C:$C,$C109,'Datos diario'!$B:$B,$A109-WEEKDAY($A109,3))/(SUMIFS('Datos diario'!$F:$F,'Datos diario'!$C:$C,$C109,'Datos diario'!$B:$B,$A109-WEEKDAY($A109,3))+SUMIFS('Datos diario'!$G:$G,'Datos diario'!$C:$C,$C109,'Datos diario'!$B:$B,$A109-WEEKDAY($A109,3))),""))</f>
        <v/>
      </c>
      <c r="S109" s="31">
        <f>IF(OR($A109="",$C109=""),"",SUMIFS('Datos diario'!$I:$I,'Datos diario'!$C:$C,$C109,'Datos diario'!$B:$B,$A109-WEEKDAY($A109,3)))</f>
        <v/>
      </c>
      <c r="T109" s="31">
        <f>IF(OR($A109="",$C109=""),"",SUMIFS('Datos diario'!$P:$P,'Datos diario'!$C:$C,$C109,'Datos diario'!$B:$B,$A109-WEEKDAY($A109,3)))</f>
        <v/>
      </c>
      <c r="U109" s="31">
        <f>IF(OR($A109="",$C109=""),"",ROUND(SUMIFS('Datos diario'!$U:$U,'Datos diario'!$C:$C,$C109,'Datos diario'!$B:$B,$A109-WEEKDAY($A109,3)),0))</f>
        <v/>
      </c>
      <c r="V109" s="30">
        <f>IF(OR($A109="",$C109=""),"",IFERROR(ROUND(AVERAGEIFS('Datos diario'!$M:$M,'Datos diario'!$C:$C,$C109,'Datos diario'!$B:$B,$A109-WEEKDAY($A109,3),'Datos diario'!$L:$L,"&gt;0"),1),""))</f>
        <v/>
      </c>
    </row>
    <row r="110">
      <c r="A110" s="26" t="n"/>
      <c r="B110" s="22" t="n"/>
      <c r="C110" s="23">
        <f>IF(B110="","",IFERROR(INDEX(Perfil!$B$6:$B$17,MATCH(B110,Perfil!$A$6:$A$17,0)),""))</f>
        <v/>
      </c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30">
        <f>IF(COUNT(D110:K110)=0,"",AVERAGE(D110:K110))</f>
        <v/>
      </c>
      <c r="M110" s="22" t="n"/>
      <c r="N110" s="22" t="n"/>
      <c r="O110" s="22" t="n"/>
      <c r="P110" s="22" t="n"/>
      <c r="Q110" s="31">
        <f>IF(OR($A110="",$C110=""),"",SUMIFS('Datos diario'!$E:$E,'Datos diario'!$C:$C,$C110,'Datos diario'!$B:$B,$A110-WEEKDAY($A110,3)))</f>
        <v/>
      </c>
      <c r="R110" s="32">
        <f>IF(OR($A110="",$C110=""),"",IFERROR(SUMIFS('Datos diario'!$F:$F,'Datos diario'!$C:$C,$C110,'Datos diario'!$B:$B,$A110-WEEKDAY($A110,3))/(SUMIFS('Datos diario'!$F:$F,'Datos diario'!$C:$C,$C110,'Datos diario'!$B:$B,$A110-WEEKDAY($A110,3))+SUMIFS('Datos diario'!$G:$G,'Datos diario'!$C:$C,$C110,'Datos diario'!$B:$B,$A110-WEEKDAY($A110,3))),""))</f>
        <v/>
      </c>
      <c r="S110" s="31">
        <f>IF(OR($A110="",$C110=""),"",SUMIFS('Datos diario'!$I:$I,'Datos diario'!$C:$C,$C110,'Datos diario'!$B:$B,$A110-WEEKDAY($A110,3)))</f>
        <v/>
      </c>
      <c r="T110" s="31">
        <f>IF(OR($A110="",$C110=""),"",SUMIFS('Datos diario'!$P:$P,'Datos diario'!$C:$C,$C110,'Datos diario'!$B:$B,$A110-WEEKDAY($A110,3)))</f>
        <v/>
      </c>
      <c r="U110" s="31">
        <f>IF(OR($A110="",$C110=""),"",ROUND(SUMIFS('Datos diario'!$U:$U,'Datos diario'!$C:$C,$C110,'Datos diario'!$B:$B,$A110-WEEKDAY($A110,3)),0))</f>
        <v/>
      </c>
      <c r="V110" s="30">
        <f>IF(OR($A110="",$C110=""),"",IFERROR(ROUND(AVERAGEIFS('Datos diario'!$M:$M,'Datos diario'!$C:$C,$C110,'Datos diario'!$B:$B,$A110-WEEKDAY($A110,3),'Datos diario'!$L:$L,"&gt;0"),1),""))</f>
        <v/>
      </c>
    </row>
    <row r="111">
      <c r="A111" s="26" t="n"/>
      <c r="B111" s="22" t="n"/>
      <c r="C111" s="23">
        <f>IF(B111="","",IFERROR(INDEX(Perfil!$B$6:$B$17,MATCH(B111,Perfil!$A$6:$A$17,0)),""))</f>
        <v/>
      </c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30">
        <f>IF(COUNT(D111:K111)=0,"",AVERAGE(D111:K111))</f>
        <v/>
      </c>
      <c r="M111" s="22" t="n"/>
      <c r="N111" s="22" t="n"/>
      <c r="O111" s="22" t="n"/>
      <c r="P111" s="22" t="n"/>
      <c r="Q111" s="31">
        <f>IF(OR($A111="",$C111=""),"",SUMIFS('Datos diario'!$E:$E,'Datos diario'!$C:$C,$C111,'Datos diario'!$B:$B,$A111-WEEKDAY($A111,3)))</f>
        <v/>
      </c>
      <c r="R111" s="32">
        <f>IF(OR($A111="",$C111=""),"",IFERROR(SUMIFS('Datos diario'!$F:$F,'Datos diario'!$C:$C,$C111,'Datos diario'!$B:$B,$A111-WEEKDAY($A111,3))/(SUMIFS('Datos diario'!$F:$F,'Datos diario'!$C:$C,$C111,'Datos diario'!$B:$B,$A111-WEEKDAY($A111,3))+SUMIFS('Datos diario'!$G:$G,'Datos diario'!$C:$C,$C111,'Datos diario'!$B:$B,$A111-WEEKDAY($A111,3))),""))</f>
        <v/>
      </c>
      <c r="S111" s="31">
        <f>IF(OR($A111="",$C111=""),"",SUMIFS('Datos diario'!$I:$I,'Datos diario'!$C:$C,$C111,'Datos diario'!$B:$B,$A111-WEEKDAY($A111,3)))</f>
        <v/>
      </c>
      <c r="T111" s="31">
        <f>IF(OR($A111="",$C111=""),"",SUMIFS('Datos diario'!$P:$P,'Datos diario'!$C:$C,$C111,'Datos diario'!$B:$B,$A111-WEEKDAY($A111,3)))</f>
        <v/>
      </c>
      <c r="U111" s="31">
        <f>IF(OR($A111="",$C111=""),"",ROUND(SUMIFS('Datos diario'!$U:$U,'Datos diario'!$C:$C,$C111,'Datos diario'!$B:$B,$A111-WEEKDAY($A111,3)),0))</f>
        <v/>
      </c>
      <c r="V111" s="30">
        <f>IF(OR($A111="",$C111=""),"",IFERROR(ROUND(AVERAGEIFS('Datos diario'!$M:$M,'Datos diario'!$C:$C,$C111,'Datos diario'!$B:$B,$A111-WEEKDAY($A111,3),'Datos diario'!$L:$L,"&gt;0"),1),""))</f>
        <v/>
      </c>
    </row>
    <row r="112">
      <c r="A112" s="26" t="n"/>
      <c r="B112" s="22" t="n"/>
      <c r="C112" s="23">
        <f>IF(B112="","",IFERROR(INDEX(Perfil!$B$6:$B$17,MATCH(B112,Perfil!$A$6:$A$17,0)),""))</f>
        <v/>
      </c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30">
        <f>IF(COUNT(D112:K112)=0,"",AVERAGE(D112:K112))</f>
        <v/>
      </c>
      <c r="M112" s="22" t="n"/>
      <c r="N112" s="22" t="n"/>
      <c r="O112" s="22" t="n"/>
      <c r="P112" s="22" t="n"/>
      <c r="Q112" s="31">
        <f>IF(OR($A112="",$C112=""),"",SUMIFS('Datos diario'!$E:$E,'Datos diario'!$C:$C,$C112,'Datos diario'!$B:$B,$A112-WEEKDAY($A112,3)))</f>
        <v/>
      </c>
      <c r="R112" s="32">
        <f>IF(OR($A112="",$C112=""),"",IFERROR(SUMIFS('Datos diario'!$F:$F,'Datos diario'!$C:$C,$C112,'Datos diario'!$B:$B,$A112-WEEKDAY($A112,3))/(SUMIFS('Datos diario'!$F:$F,'Datos diario'!$C:$C,$C112,'Datos diario'!$B:$B,$A112-WEEKDAY($A112,3))+SUMIFS('Datos diario'!$G:$G,'Datos diario'!$C:$C,$C112,'Datos diario'!$B:$B,$A112-WEEKDAY($A112,3))),""))</f>
        <v/>
      </c>
      <c r="S112" s="31">
        <f>IF(OR($A112="",$C112=""),"",SUMIFS('Datos diario'!$I:$I,'Datos diario'!$C:$C,$C112,'Datos diario'!$B:$B,$A112-WEEKDAY($A112,3)))</f>
        <v/>
      </c>
      <c r="T112" s="31">
        <f>IF(OR($A112="",$C112=""),"",SUMIFS('Datos diario'!$P:$P,'Datos diario'!$C:$C,$C112,'Datos diario'!$B:$B,$A112-WEEKDAY($A112,3)))</f>
        <v/>
      </c>
      <c r="U112" s="31">
        <f>IF(OR($A112="",$C112=""),"",ROUND(SUMIFS('Datos diario'!$U:$U,'Datos diario'!$C:$C,$C112,'Datos diario'!$B:$B,$A112-WEEKDAY($A112,3)),0))</f>
        <v/>
      </c>
      <c r="V112" s="30">
        <f>IF(OR($A112="",$C112=""),"",IFERROR(ROUND(AVERAGEIFS('Datos diario'!$M:$M,'Datos diario'!$C:$C,$C112,'Datos diario'!$B:$B,$A112-WEEKDAY($A112,3),'Datos diario'!$L:$L,"&gt;0"),1),""))</f>
        <v/>
      </c>
    </row>
    <row r="113">
      <c r="A113" s="26" t="n"/>
      <c r="B113" s="22" t="n"/>
      <c r="C113" s="23">
        <f>IF(B113="","",IFERROR(INDEX(Perfil!$B$6:$B$17,MATCH(B113,Perfil!$A$6:$A$17,0)),""))</f>
        <v/>
      </c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30">
        <f>IF(COUNT(D113:K113)=0,"",AVERAGE(D113:K113))</f>
        <v/>
      </c>
      <c r="M113" s="22" t="n"/>
      <c r="N113" s="22" t="n"/>
      <c r="O113" s="22" t="n"/>
      <c r="P113" s="22" t="n"/>
      <c r="Q113" s="31">
        <f>IF(OR($A113="",$C113=""),"",SUMIFS('Datos diario'!$E:$E,'Datos diario'!$C:$C,$C113,'Datos diario'!$B:$B,$A113-WEEKDAY($A113,3)))</f>
        <v/>
      </c>
      <c r="R113" s="32">
        <f>IF(OR($A113="",$C113=""),"",IFERROR(SUMIFS('Datos diario'!$F:$F,'Datos diario'!$C:$C,$C113,'Datos diario'!$B:$B,$A113-WEEKDAY($A113,3))/(SUMIFS('Datos diario'!$F:$F,'Datos diario'!$C:$C,$C113,'Datos diario'!$B:$B,$A113-WEEKDAY($A113,3))+SUMIFS('Datos diario'!$G:$G,'Datos diario'!$C:$C,$C113,'Datos diario'!$B:$B,$A113-WEEKDAY($A113,3))),""))</f>
        <v/>
      </c>
      <c r="S113" s="31">
        <f>IF(OR($A113="",$C113=""),"",SUMIFS('Datos diario'!$I:$I,'Datos diario'!$C:$C,$C113,'Datos diario'!$B:$B,$A113-WEEKDAY($A113,3)))</f>
        <v/>
      </c>
      <c r="T113" s="31">
        <f>IF(OR($A113="",$C113=""),"",SUMIFS('Datos diario'!$P:$P,'Datos diario'!$C:$C,$C113,'Datos diario'!$B:$B,$A113-WEEKDAY($A113,3)))</f>
        <v/>
      </c>
      <c r="U113" s="31">
        <f>IF(OR($A113="",$C113=""),"",ROUND(SUMIFS('Datos diario'!$U:$U,'Datos diario'!$C:$C,$C113,'Datos diario'!$B:$B,$A113-WEEKDAY($A113,3)),0))</f>
        <v/>
      </c>
      <c r="V113" s="30">
        <f>IF(OR($A113="",$C113=""),"",IFERROR(ROUND(AVERAGEIFS('Datos diario'!$M:$M,'Datos diario'!$C:$C,$C113,'Datos diario'!$B:$B,$A113-WEEKDAY($A113,3),'Datos diario'!$L:$L,"&gt;0"),1),""))</f>
        <v/>
      </c>
    </row>
    <row r="114">
      <c r="A114" s="26" t="n"/>
      <c r="B114" s="22" t="n"/>
      <c r="C114" s="23">
        <f>IF(B114="","",IFERROR(INDEX(Perfil!$B$6:$B$17,MATCH(B114,Perfil!$A$6:$A$17,0)),""))</f>
        <v/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30">
        <f>IF(COUNT(D114:K114)=0,"",AVERAGE(D114:K114))</f>
        <v/>
      </c>
      <c r="M114" s="22" t="n"/>
      <c r="N114" s="22" t="n"/>
      <c r="O114" s="22" t="n"/>
      <c r="P114" s="22" t="n"/>
      <c r="Q114" s="31">
        <f>IF(OR($A114="",$C114=""),"",SUMIFS('Datos diario'!$E:$E,'Datos diario'!$C:$C,$C114,'Datos diario'!$B:$B,$A114-WEEKDAY($A114,3)))</f>
        <v/>
      </c>
      <c r="R114" s="32">
        <f>IF(OR($A114="",$C114=""),"",IFERROR(SUMIFS('Datos diario'!$F:$F,'Datos diario'!$C:$C,$C114,'Datos diario'!$B:$B,$A114-WEEKDAY($A114,3))/(SUMIFS('Datos diario'!$F:$F,'Datos diario'!$C:$C,$C114,'Datos diario'!$B:$B,$A114-WEEKDAY($A114,3))+SUMIFS('Datos diario'!$G:$G,'Datos diario'!$C:$C,$C114,'Datos diario'!$B:$B,$A114-WEEKDAY($A114,3))),""))</f>
        <v/>
      </c>
      <c r="S114" s="31">
        <f>IF(OR($A114="",$C114=""),"",SUMIFS('Datos diario'!$I:$I,'Datos diario'!$C:$C,$C114,'Datos diario'!$B:$B,$A114-WEEKDAY($A114,3)))</f>
        <v/>
      </c>
      <c r="T114" s="31">
        <f>IF(OR($A114="",$C114=""),"",SUMIFS('Datos diario'!$P:$P,'Datos diario'!$C:$C,$C114,'Datos diario'!$B:$B,$A114-WEEKDAY($A114,3)))</f>
        <v/>
      </c>
      <c r="U114" s="31">
        <f>IF(OR($A114="",$C114=""),"",ROUND(SUMIFS('Datos diario'!$U:$U,'Datos diario'!$C:$C,$C114,'Datos diario'!$B:$B,$A114-WEEKDAY($A114,3)),0))</f>
        <v/>
      </c>
      <c r="V114" s="30">
        <f>IF(OR($A114="",$C114=""),"",IFERROR(ROUND(AVERAGEIFS('Datos diario'!$M:$M,'Datos diario'!$C:$C,$C114,'Datos diario'!$B:$B,$A114-WEEKDAY($A114,3),'Datos diario'!$L:$L,"&gt;0"),1),""))</f>
        <v/>
      </c>
    </row>
    <row r="115">
      <c r="A115" s="26" t="n"/>
      <c r="B115" s="22" t="n"/>
      <c r="C115" s="23">
        <f>IF(B115="","",IFERROR(INDEX(Perfil!$B$6:$B$17,MATCH(B115,Perfil!$A$6:$A$17,0)),""))</f>
        <v/>
      </c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30">
        <f>IF(COUNT(D115:K115)=0,"",AVERAGE(D115:K115))</f>
        <v/>
      </c>
      <c r="M115" s="22" t="n"/>
      <c r="N115" s="22" t="n"/>
      <c r="O115" s="22" t="n"/>
      <c r="P115" s="22" t="n"/>
      <c r="Q115" s="31">
        <f>IF(OR($A115="",$C115=""),"",SUMIFS('Datos diario'!$E:$E,'Datos diario'!$C:$C,$C115,'Datos diario'!$B:$B,$A115-WEEKDAY($A115,3)))</f>
        <v/>
      </c>
      <c r="R115" s="32">
        <f>IF(OR($A115="",$C115=""),"",IFERROR(SUMIFS('Datos diario'!$F:$F,'Datos diario'!$C:$C,$C115,'Datos diario'!$B:$B,$A115-WEEKDAY($A115,3))/(SUMIFS('Datos diario'!$F:$F,'Datos diario'!$C:$C,$C115,'Datos diario'!$B:$B,$A115-WEEKDAY($A115,3))+SUMIFS('Datos diario'!$G:$G,'Datos diario'!$C:$C,$C115,'Datos diario'!$B:$B,$A115-WEEKDAY($A115,3))),""))</f>
        <v/>
      </c>
      <c r="S115" s="31">
        <f>IF(OR($A115="",$C115=""),"",SUMIFS('Datos diario'!$I:$I,'Datos diario'!$C:$C,$C115,'Datos diario'!$B:$B,$A115-WEEKDAY($A115,3)))</f>
        <v/>
      </c>
      <c r="T115" s="31">
        <f>IF(OR($A115="",$C115=""),"",SUMIFS('Datos diario'!$P:$P,'Datos diario'!$C:$C,$C115,'Datos diario'!$B:$B,$A115-WEEKDAY($A115,3)))</f>
        <v/>
      </c>
      <c r="U115" s="31">
        <f>IF(OR($A115="",$C115=""),"",ROUND(SUMIFS('Datos diario'!$U:$U,'Datos diario'!$C:$C,$C115,'Datos diario'!$B:$B,$A115-WEEKDAY($A115,3)),0))</f>
        <v/>
      </c>
      <c r="V115" s="30">
        <f>IF(OR($A115="",$C115=""),"",IFERROR(ROUND(AVERAGEIFS('Datos diario'!$M:$M,'Datos diario'!$C:$C,$C115,'Datos diario'!$B:$B,$A115-WEEKDAY($A115,3),'Datos diario'!$L:$L,"&gt;0"),1),""))</f>
        <v/>
      </c>
    </row>
    <row r="116">
      <c r="A116" s="26" t="n"/>
      <c r="B116" s="22" t="n"/>
      <c r="C116" s="23">
        <f>IF(B116="","",IFERROR(INDEX(Perfil!$B$6:$B$17,MATCH(B116,Perfil!$A$6:$A$17,0)),""))</f>
        <v/>
      </c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30">
        <f>IF(COUNT(D116:K116)=0,"",AVERAGE(D116:K116))</f>
        <v/>
      </c>
      <c r="M116" s="22" t="n"/>
      <c r="N116" s="22" t="n"/>
      <c r="O116" s="22" t="n"/>
      <c r="P116" s="22" t="n"/>
      <c r="Q116" s="31">
        <f>IF(OR($A116="",$C116=""),"",SUMIFS('Datos diario'!$E:$E,'Datos diario'!$C:$C,$C116,'Datos diario'!$B:$B,$A116-WEEKDAY($A116,3)))</f>
        <v/>
      </c>
      <c r="R116" s="32">
        <f>IF(OR($A116="",$C116=""),"",IFERROR(SUMIFS('Datos diario'!$F:$F,'Datos diario'!$C:$C,$C116,'Datos diario'!$B:$B,$A116-WEEKDAY($A116,3))/(SUMIFS('Datos diario'!$F:$F,'Datos diario'!$C:$C,$C116,'Datos diario'!$B:$B,$A116-WEEKDAY($A116,3))+SUMIFS('Datos diario'!$G:$G,'Datos diario'!$C:$C,$C116,'Datos diario'!$B:$B,$A116-WEEKDAY($A116,3))),""))</f>
        <v/>
      </c>
      <c r="S116" s="31">
        <f>IF(OR($A116="",$C116=""),"",SUMIFS('Datos diario'!$I:$I,'Datos diario'!$C:$C,$C116,'Datos diario'!$B:$B,$A116-WEEKDAY($A116,3)))</f>
        <v/>
      </c>
      <c r="T116" s="31">
        <f>IF(OR($A116="",$C116=""),"",SUMIFS('Datos diario'!$P:$P,'Datos diario'!$C:$C,$C116,'Datos diario'!$B:$B,$A116-WEEKDAY($A116,3)))</f>
        <v/>
      </c>
      <c r="U116" s="31">
        <f>IF(OR($A116="",$C116=""),"",ROUND(SUMIFS('Datos diario'!$U:$U,'Datos diario'!$C:$C,$C116,'Datos diario'!$B:$B,$A116-WEEKDAY($A116,3)),0))</f>
        <v/>
      </c>
      <c r="V116" s="30">
        <f>IF(OR($A116="",$C116=""),"",IFERROR(ROUND(AVERAGEIFS('Datos diario'!$M:$M,'Datos diario'!$C:$C,$C116,'Datos diario'!$B:$B,$A116-WEEKDAY($A116,3),'Datos diario'!$L:$L,"&gt;0"),1),""))</f>
        <v/>
      </c>
    </row>
    <row r="117">
      <c r="A117" s="26" t="n"/>
      <c r="B117" s="22" t="n"/>
      <c r="C117" s="23">
        <f>IF(B117="","",IFERROR(INDEX(Perfil!$B$6:$B$17,MATCH(B117,Perfil!$A$6:$A$17,0)),""))</f>
        <v/>
      </c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30">
        <f>IF(COUNT(D117:K117)=0,"",AVERAGE(D117:K117))</f>
        <v/>
      </c>
      <c r="M117" s="22" t="n"/>
      <c r="N117" s="22" t="n"/>
      <c r="O117" s="22" t="n"/>
      <c r="P117" s="22" t="n"/>
      <c r="Q117" s="31">
        <f>IF(OR($A117="",$C117=""),"",SUMIFS('Datos diario'!$E:$E,'Datos diario'!$C:$C,$C117,'Datos diario'!$B:$B,$A117-WEEKDAY($A117,3)))</f>
        <v/>
      </c>
      <c r="R117" s="32">
        <f>IF(OR($A117="",$C117=""),"",IFERROR(SUMIFS('Datos diario'!$F:$F,'Datos diario'!$C:$C,$C117,'Datos diario'!$B:$B,$A117-WEEKDAY($A117,3))/(SUMIFS('Datos diario'!$F:$F,'Datos diario'!$C:$C,$C117,'Datos diario'!$B:$B,$A117-WEEKDAY($A117,3))+SUMIFS('Datos diario'!$G:$G,'Datos diario'!$C:$C,$C117,'Datos diario'!$B:$B,$A117-WEEKDAY($A117,3))),""))</f>
        <v/>
      </c>
      <c r="S117" s="31">
        <f>IF(OR($A117="",$C117=""),"",SUMIFS('Datos diario'!$I:$I,'Datos diario'!$C:$C,$C117,'Datos diario'!$B:$B,$A117-WEEKDAY($A117,3)))</f>
        <v/>
      </c>
      <c r="T117" s="31">
        <f>IF(OR($A117="",$C117=""),"",SUMIFS('Datos diario'!$P:$P,'Datos diario'!$C:$C,$C117,'Datos diario'!$B:$B,$A117-WEEKDAY($A117,3)))</f>
        <v/>
      </c>
      <c r="U117" s="31">
        <f>IF(OR($A117="",$C117=""),"",ROUND(SUMIFS('Datos diario'!$U:$U,'Datos diario'!$C:$C,$C117,'Datos diario'!$B:$B,$A117-WEEKDAY($A117,3)),0))</f>
        <v/>
      </c>
      <c r="V117" s="30">
        <f>IF(OR($A117="",$C117=""),"",IFERROR(ROUND(AVERAGEIFS('Datos diario'!$M:$M,'Datos diario'!$C:$C,$C117,'Datos diario'!$B:$B,$A117-WEEKDAY($A117,3),'Datos diario'!$L:$L,"&gt;0"),1),""))</f>
        <v/>
      </c>
    </row>
    <row r="118">
      <c r="A118" s="26" t="n"/>
      <c r="B118" s="22" t="n"/>
      <c r="C118" s="23">
        <f>IF(B118="","",IFERROR(INDEX(Perfil!$B$6:$B$17,MATCH(B118,Perfil!$A$6:$A$17,0)),""))</f>
        <v/>
      </c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30">
        <f>IF(COUNT(D118:K118)=0,"",AVERAGE(D118:K118))</f>
        <v/>
      </c>
      <c r="M118" s="22" t="n"/>
      <c r="N118" s="22" t="n"/>
      <c r="O118" s="22" t="n"/>
      <c r="P118" s="22" t="n"/>
      <c r="Q118" s="31">
        <f>IF(OR($A118="",$C118=""),"",SUMIFS('Datos diario'!$E:$E,'Datos diario'!$C:$C,$C118,'Datos diario'!$B:$B,$A118-WEEKDAY($A118,3)))</f>
        <v/>
      </c>
      <c r="R118" s="32">
        <f>IF(OR($A118="",$C118=""),"",IFERROR(SUMIFS('Datos diario'!$F:$F,'Datos diario'!$C:$C,$C118,'Datos diario'!$B:$B,$A118-WEEKDAY($A118,3))/(SUMIFS('Datos diario'!$F:$F,'Datos diario'!$C:$C,$C118,'Datos diario'!$B:$B,$A118-WEEKDAY($A118,3))+SUMIFS('Datos diario'!$G:$G,'Datos diario'!$C:$C,$C118,'Datos diario'!$B:$B,$A118-WEEKDAY($A118,3))),""))</f>
        <v/>
      </c>
      <c r="S118" s="31">
        <f>IF(OR($A118="",$C118=""),"",SUMIFS('Datos diario'!$I:$I,'Datos diario'!$C:$C,$C118,'Datos diario'!$B:$B,$A118-WEEKDAY($A118,3)))</f>
        <v/>
      </c>
      <c r="T118" s="31">
        <f>IF(OR($A118="",$C118=""),"",SUMIFS('Datos diario'!$P:$P,'Datos diario'!$C:$C,$C118,'Datos diario'!$B:$B,$A118-WEEKDAY($A118,3)))</f>
        <v/>
      </c>
      <c r="U118" s="31">
        <f>IF(OR($A118="",$C118=""),"",ROUND(SUMIFS('Datos diario'!$U:$U,'Datos diario'!$C:$C,$C118,'Datos diario'!$B:$B,$A118-WEEKDAY($A118,3)),0))</f>
        <v/>
      </c>
      <c r="V118" s="30">
        <f>IF(OR($A118="",$C118=""),"",IFERROR(ROUND(AVERAGEIFS('Datos diario'!$M:$M,'Datos diario'!$C:$C,$C118,'Datos diario'!$B:$B,$A118-WEEKDAY($A118,3),'Datos diario'!$L:$L,"&gt;0"),1),""))</f>
        <v/>
      </c>
    </row>
    <row r="119">
      <c r="A119" s="26" t="n"/>
      <c r="B119" s="22" t="n"/>
      <c r="C119" s="23">
        <f>IF(B119="","",IFERROR(INDEX(Perfil!$B$6:$B$17,MATCH(B119,Perfil!$A$6:$A$17,0)),""))</f>
        <v/>
      </c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30">
        <f>IF(COUNT(D119:K119)=0,"",AVERAGE(D119:K119))</f>
        <v/>
      </c>
      <c r="M119" s="22" t="n"/>
      <c r="N119" s="22" t="n"/>
      <c r="O119" s="22" t="n"/>
      <c r="P119" s="22" t="n"/>
      <c r="Q119" s="31">
        <f>IF(OR($A119="",$C119=""),"",SUMIFS('Datos diario'!$E:$E,'Datos diario'!$C:$C,$C119,'Datos diario'!$B:$B,$A119-WEEKDAY($A119,3)))</f>
        <v/>
      </c>
      <c r="R119" s="32">
        <f>IF(OR($A119="",$C119=""),"",IFERROR(SUMIFS('Datos diario'!$F:$F,'Datos diario'!$C:$C,$C119,'Datos diario'!$B:$B,$A119-WEEKDAY($A119,3))/(SUMIFS('Datos diario'!$F:$F,'Datos diario'!$C:$C,$C119,'Datos diario'!$B:$B,$A119-WEEKDAY($A119,3))+SUMIFS('Datos diario'!$G:$G,'Datos diario'!$C:$C,$C119,'Datos diario'!$B:$B,$A119-WEEKDAY($A119,3))),""))</f>
        <v/>
      </c>
      <c r="S119" s="31">
        <f>IF(OR($A119="",$C119=""),"",SUMIFS('Datos diario'!$I:$I,'Datos diario'!$C:$C,$C119,'Datos diario'!$B:$B,$A119-WEEKDAY($A119,3)))</f>
        <v/>
      </c>
      <c r="T119" s="31">
        <f>IF(OR($A119="",$C119=""),"",SUMIFS('Datos diario'!$P:$P,'Datos diario'!$C:$C,$C119,'Datos diario'!$B:$B,$A119-WEEKDAY($A119,3)))</f>
        <v/>
      </c>
      <c r="U119" s="31">
        <f>IF(OR($A119="",$C119=""),"",ROUND(SUMIFS('Datos diario'!$U:$U,'Datos diario'!$C:$C,$C119,'Datos diario'!$B:$B,$A119-WEEKDAY($A119,3)),0))</f>
        <v/>
      </c>
      <c r="V119" s="30">
        <f>IF(OR($A119="",$C119=""),"",IFERROR(ROUND(AVERAGEIFS('Datos diario'!$M:$M,'Datos diario'!$C:$C,$C119,'Datos diario'!$B:$B,$A119-WEEKDAY($A119,3),'Datos diario'!$L:$L,"&gt;0"),1),""))</f>
        <v/>
      </c>
    </row>
    <row r="120">
      <c r="A120" s="26" t="n"/>
      <c r="B120" s="22" t="n"/>
      <c r="C120" s="23">
        <f>IF(B120="","",IFERROR(INDEX(Perfil!$B$6:$B$17,MATCH(B120,Perfil!$A$6:$A$17,0)),""))</f>
        <v/>
      </c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30">
        <f>IF(COUNT(D120:K120)=0,"",AVERAGE(D120:K120))</f>
        <v/>
      </c>
      <c r="M120" s="22" t="n"/>
      <c r="N120" s="22" t="n"/>
      <c r="O120" s="22" t="n"/>
      <c r="P120" s="22" t="n"/>
      <c r="Q120" s="31">
        <f>IF(OR($A120="",$C120=""),"",SUMIFS('Datos diario'!$E:$E,'Datos diario'!$C:$C,$C120,'Datos diario'!$B:$B,$A120-WEEKDAY($A120,3)))</f>
        <v/>
      </c>
      <c r="R120" s="32">
        <f>IF(OR($A120="",$C120=""),"",IFERROR(SUMIFS('Datos diario'!$F:$F,'Datos diario'!$C:$C,$C120,'Datos diario'!$B:$B,$A120-WEEKDAY($A120,3))/(SUMIFS('Datos diario'!$F:$F,'Datos diario'!$C:$C,$C120,'Datos diario'!$B:$B,$A120-WEEKDAY($A120,3))+SUMIFS('Datos diario'!$G:$G,'Datos diario'!$C:$C,$C120,'Datos diario'!$B:$B,$A120-WEEKDAY($A120,3))),""))</f>
        <v/>
      </c>
      <c r="S120" s="31">
        <f>IF(OR($A120="",$C120=""),"",SUMIFS('Datos diario'!$I:$I,'Datos diario'!$C:$C,$C120,'Datos diario'!$B:$B,$A120-WEEKDAY($A120,3)))</f>
        <v/>
      </c>
      <c r="T120" s="31">
        <f>IF(OR($A120="",$C120=""),"",SUMIFS('Datos diario'!$P:$P,'Datos diario'!$C:$C,$C120,'Datos diario'!$B:$B,$A120-WEEKDAY($A120,3)))</f>
        <v/>
      </c>
      <c r="U120" s="31">
        <f>IF(OR($A120="",$C120=""),"",ROUND(SUMIFS('Datos diario'!$U:$U,'Datos diario'!$C:$C,$C120,'Datos diario'!$B:$B,$A120-WEEKDAY($A120,3)),0))</f>
        <v/>
      </c>
      <c r="V120" s="30">
        <f>IF(OR($A120="",$C120=""),"",IFERROR(ROUND(AVERAGEIFS('Datos diario'!$M:$M,'Datos diario'!$C:$C,$C120,'Datos diario'!$B:$B,$A120-WEEKDAY($A120,3),'Datos diario'!$L:$L,"&gt;0"),1),""))</f>
        <v/>
      </c>
    </row>
    <row r="121">
      <c r="A121" s="26" t="n"/>
      <c r="B121" s="22" t="n"/>
      <c r="C121" s="23">
        <f>IF(B121="","",IFERROR(INDEX(Perfil!$B$6:$B$17,MATCH(B121,Perfil!$A$6:$A$17,0)),""))</f>
        <v/>
      </c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30">
        <f>IF(COUNT(D121:K121)=0,"",AVERAGE(D121:K121))</f>
        <v/>
      </c>
      <c r="M121" s="22" t="n"/>
      <c r="N121" s="22" t="n"/>
      <c r="O121" s="22" t="n"/>
      <c r="P121" s="22" t="n"/>
      <c r="Q121" s="31">
        <f>IF(OR($A121="",$C121=""),"",SUMIFS('Datos diario'!$E:$E,'Datos diario'!$C:$C,$C121,'Datos diario'!$B:$B,$A121-WEEKDAY($A121,3)))</f>
        <v/>
      </c>
      <c r="R121" s="32">
        <f>IF(OR($A121="",$C121=""),"",IFERROR(SUMIFS('Datos diario'!$F:$F,'Datos diario'!$C:$C,$C121,'Datos diario'!$B:$B,$A121-WEEKDAY($A121,3))/(SUMIFS('Datos diario'!$F:$F,'Datos diario'!$C:$C,$C121,'Datos diario'!$B:$B,$A121-WEEKDAY($A121,3))+SUMIFS('Datos diario'!$G:$G,'Datos diario'!$C:$C,$C121,'Datos diario'!$B:$B,$A121-WEEKDAY($A121,3))),""))</f>
        <v/>
      </c>
      <c r="S121" s="31">
        <f>IF(OR($A121="",$C121=""),"",SUMIFS('Datos diario'!$I:$I,'Datos diario'!$C:$C,$C121,'Datos diario'!$B:$B,$A121-WEEKDAY($A121,3)))</f>
        <v/>
      </c>
      <c r="T121" s="31">
        <f>IF(OR($A121="",$C121=""),"",SUMIFS('Datos diario'!$P:$P,'Datos diario'!$C:$C,$C121,'Datos diario'!$B:$B,$A121-WEEKDAY($A121,3)))</f>
        <v/>
      </c>
      <c r="U121" s="31">
        <f>IF(OR($A121="",$C121=""),"",ROUND(SUMIFS('Datos diario'!$U:$U,'Datos diario'!$C:$C,$C121,'Datos diario'!$B:$B,$A121-WEEKDAY($A121,3)),0))</f>
        <v/>
      </c>
      <c r="V121" s="30">
        <f>IF(OR($A121="",$C121=""),"",IFERROR(ROUND(AVERAGEIFS('Datos diario'!$M:$M,'Datos diario'!$C:$C,$C121,'Datos diario'!$B:$B,$A121-WEEKDAY($A121,3),'Datos diario'!$L:$L,"&gt;0"),1),""))</f>
        <v/>
      </c>
    </row>
    <row r="122">
      <c r="A122" s="26" t="n"/>
      <c r="B122" s="22" t="n"/>
      <c r="C122" s="23">
        <f>IF(B122="","",IFERROR(INDEX(Perfil!$B$6:$B$17,MATCH(B122,Perfil!$A$6:$A$17,0)),""))</f>
        <v/>
      </c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30">
        <f>IF(COUNT(D122:K122)=0,"",AVERAGE(D122:K122))</f>
        <v/>
      </c>
      <c r="M122" s="22" t="n"/>
      <c r="N122" s="22" t="n"/>
      <c r="O122" s="22" t="n"/>
      <c r="P122" s="22" t="n"/>
      <c r="Q122" s="31">
        <f>IF(OR($A122="",$C122=""),"",SUMIFS('Datos diario'!$E:$E,'Datos diario'!$C:$C,$C122,'Datos diario'!$B:$B,$A122-WEEKDAY($A122,3)))</f>
        <v/>
      </c>
      <c r="R122" s="32">
        <f>IF(OR($A122="",$C122=""),"",IFERROR(SUMIFS('Datos diario'!$F:$F,'Datos diario'!$C:$C,$C122,'Datos diario'!$B:$B,$A122-WEEKDAY($A122,3))/(SUMIFS('Datos diario'!$F:$F,'Datos diario'!$C:$C,$C122,'Datos diario'!$B:$B,$A122-WEEKDAY($A122,3))+SUMIFS('Datos diario'!$G:$G,'Datos diario'!$C:$C,$C122,'Datos diario'!$B:$B,$A122-WEEKDAY($A122,3))),""))</f>
        <v/>
      </c>
      <c r="S122" s="31">
        <f>IF(OR($A122="",$C122=""),"",SUMIFS('Datos diario'!$I:$I,'Datos diario'!$C:$C,$C122,'Datos diario'!$B:$B,$A122-WEEKDAY($A122,3)))</f>
        <v/>
      </c>
      <c r="T122" s="31">
        <f>IF(OR($A122="",$C122=""),"",SUMIFS('Datos diario'!$P:$P,'Datos diario'!$C:$C,$C122,'Datos diario'!$B:$B,$A122-WEEKDAY($A122,3)))</f>
        <v/>
      </c>
      <c r="U122" s="31">
        <f>IF(OR($A122="",$C122=""),"",ROUND(SUMIFS('Datos diario'!$U:$U,'Datos diario'!$C:$C,$C122,'Datos diario'!$B:$B,$A122-WEEKDAY($A122,3)),0))</f>
        <v/>
      </c>
      <c r="V122" s="30">
        <f>IF(OR($A122="",$C122=""),"",IFERROR(ROUND(AVERAGEIFS('Datos diario'!$M:$M,'Datos diario'!$C:$C,$C122,'Datos diario'!$B:$B,$A122-WEEKDAY($A122,3),'Datos diario'!$L:$L,"&gt;0"),1),""))</f>
        <v/>
      </c>
    </row>
    <row r="123">
      <c r="A123" s="26" t="n"/>
      <c r="B123" s="22" t="n"/>
      <c r="C123" s="23">
        <f>IF(B123="","",IFERROR(INDEX(Perfil!$B$6:$B$17,MATCH(B123,Perfil!$A$6:$A$17,0)),""))</f>
        <v/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30">
        <f>IF(COUNT(D123:K123)=0,"",AVERAGE(D123:K123))</f>
        <v/>
      </c>
      <c r="M123" s="22" t="n"/>
      <c r="N123" s="22" t="n"/>
      <c r="O123" s="22" t="n"/>
      <c r="P123" s="22" t="n"/>
      <c r="Q123" s="31">
        <f>IF(OR($A123="",$C123=""),"",SUMIFS('Datos diario'!$E:$E,'Datos diario'!$C:$C,$C123,'Datos diario'!$B:$B,$A123-WEEKDAY($A123,3)))</f>
        <v/>
      </c>
      <c r="R123" s="32">
        <f>IF(OR($A123="",$C123=""),"",IFERROR(SUMIFS('Datos diario'!$F:$F,'Datos diario'!$C:$C,$C123,'Datos diario'!$B:$B,$A123-WEEKDAY($A123,3))/(SUMIFS('Datos diario'!$F:$F,'Datos diario'!$C:$C,$C123,'Datos diario'!$B:$B,$A123-WEEKDAY($A123,3))+SUMIFS('Datos diario'!$G:$G,'Datos diario'!$C:$C,$C123,'Datos diario'!$B:$B,$A123-WEEKDAY($A123,3))),""))</f>
        <v/>
      </c>
      <c r="S123" s="31">
        <f>IF(OR($A123="",$C123=""),"",SUMIFS('Datos diario'!$I:$I,'Datos diario'!$C:$C,$C123,'Datos diario'!$B:$B,$A123-WEEKDAY($A123,3)))</f>
        <v/>
      </c>
      <c r="T123" s="31">
        <f>IF(OR($A123="",$C123=""),"",SUMIFS('Datos diario'!$P:$P,'Datos diario'!$C:$C,$C123,'Datos diario'!$B:$B,$A123-WEEKDAY($A123,3)))</f>
        <v/>
      </c>
      <c r="U123" s="31">
        <f>IF(OR($A123="",$C123=""),"",ROUND(SUMIFS('Datos diario'!$U:$U,'Datos diario'!$C:$C,$C123,'Datos diario'!$B:$B,$A123-WEEKDAY($A123,3)),0))</f>
        <v/>
      </c>
      <c r="V123" s="30">
        <f>IF(OR($A123="",$C123=""),"",IFERROR(ROUND(AVERAGEIFS('Datos diario'!$M:$M,'Datos diario'!$C:$C,$C123,'Datos diario'!$B:$B,$A123-WEEKDAY($A123,3),'Datos diario'!$L:$L,"&gt;0"),1),""))</f>
        <v/>
      </c>
    </row>
    <row r="124">
      <c r="A124" s="26" t="n"/>
      <c r="B124" s="22" t="n"/>
      <c r="C124" s="23">
        <f>IF(B124="","",IFERROR(INDEX(Perfil!$B$6:$B$17,MATCH(B124,Perfil!$A$6:$A$17,0)),""))</f>
        <v/>
      </c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30">
        <f>IF(COUNT(D124:K124)=0,"",AVERAGE(D124:K124))</f>
        <v/>
      </c>
      <c r="M124" s="22" t="n"/>
      <c r="N124" s="22" t="n"/>
      <c r="O124" s="22" t="n"/>
      <c r="P124" s="22" t="n"/>
      <c r="Q124" s="31">
        <f>IF(OR($A124="",$C124=""),"",SUMIFS('Datos diario'!$E:$E,'Datos diario'!$C:$C,$C124,'Datos diario'!$B:$B,$A124-WEEKDAY($A124,3)))</f>
        <v/>
      </c>
      <c r="R124" s="32">
        <f>IF(OR($A124="",$C124=""),"",IFERROR(SUMIFS('Datos diario'!$F:$F,'Datos diario'!$C:$C,$C124,'Datos diario'!$B:$B,$A124-WEEKDAY($A124,3))/(SUMIFS('Datos diario'!$F:$F,'Datos diario'!$C:$C,$C124,'Datos diario'!$B:$B,$A124-WEEKDAY($A124,3))+SUMIFS('Datos diario'!$G:$G,'Datos diario'!$C:$C,$C124,'Datos diario'!$B:$B,$A124-WEEKDAY($A124,3))),""))</f>
        <v/>
      </c>
      <c r="S124" s="31">
        <f>IF(OR($A124="",$C124=""),"",SUMIFS('Datos diario'!$I:$I,'Datos diario'!$C:$C,$C124,'Datos diario'!$B:$B,$A124-WEEKDAY($A124,3)))</f>
        <v/>
      </c>
      <c r="T124" s="31">
        <f>IF(OR($A124="",$C124=""),"",SUMIFS('Datos diario'!$P:$P,'Datos diario'!$C:$C,$C124,'Datos diario'!$B:$B,$A124-WEEKDAY($A124,3)))</f>
        <v/>
      </c>
      <c r="U124" s="31">
        <f>IF(OR($A124="",$C124=""),"",ROUND(SUMIFS('Datos diario'!$U:$U,'Datos diario'!$C:$C,$C124,'Datos diario'!$B:$B,$A124-WEEKDAY($A124,3)),0))</f>
        <v/>
      </c>
      <c r="V124" s="30">
        <f>IF(OR($A124="",$C124=""),"",IFERROR(ROUND(AVERAGEIFS('Datos diario'!$M:$M,'Datos diario'!$C:$C,$C124,'Datos diario'!$B:$B,$A124-WEEKDAY($A124,3),'Datos diario'!$L:$L,"&gt;0"),1),""))</f>
        <v/>
      </c>
    </row>
    <row r="125">
      <c r="A125" s="26" t="n"/>
      <c r="B125" s="22" t="n"/>
      <c r="C125" s="23">
        <f>IF(B125="","",IFERROR(INDEX(Perfil!$B$6:$B$17,MATCH(B125,Perfil!$A$6:$A$17,0)),""))</f>
        <v/>
      </c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30">
        <f>IF(COUNT(D125:K125)=0,"",AVERAGE(D125:K125))</f>
        <v/>
      </c>
      <c r="M125" s="22" t="n"/>
      <c r="N125" s="22" t="n"/>
      <c r="O125" s="22" t="n"/>
      <c r="P125" s="22" t="n"/>
      <c r="Q125" s="31">
        <f>IF(OR($A125="",$C125=""),"",SUMIFS('Datos diario'!$E:$E,'Datos diario'!$C:$C,$C125,'Datos diario'!$B:$B,$A125-WEEKDAY($A125,3)))</f>
        <v/>
      </c>
      <c r="R125" s="32">
        <f>IF(OR($A125="",$C125=""),"",IFERROR(SUMIFS('Datos diario'!$F:$F,'Datos diario'!$C:$C,$C125,'Datos diario'!$B:$B,$A125-WEEKDAY($A125,3))/(SUMIFS('Datos diario'!$F:$F,'Datos diario'!$C:$C,$C125,'Datos diario'!$B:$B,$A125-WEEKDAY($A125,3))+SUMIFS('Datos diario'!$G:$G,'Datos diario'!$C:$C,$C125,'Datos diario'!$B:$B,$A125-WEEKDAY($A125,3))),""))</f>
        <v/>
      </c>
      <c r="S125" s="31">
        <f>IF(OR($A125="",$C125=""),"",SUMIFS('Datos diario'!$I:$I,'Datos diario'!$C:$C,$C125,'Datos diario'!$B:$B,$A125-WEEKDAY($A125,3)))</f>
        <v/>
      </c>
      <c r="T125" s="31">
        <f>IF(OR($A125="",$C125=""),"",SUMIFS('Datos diario'!$P:$P,'Datos diario'!$C:$C,$C125,'Datos diario'!$B:$B,$A125-WEEKDAY($A125,3)))</f>
        <v/>
      </c>
      <c r="U125" s="31">
        <f>IF(OR($A125="",$C125=""),"",ROUND(SUMIFS('Datos diario'!$U:$U,'Datos diario'!$C:$C,$C125,'Datos diario'!$B:$B,$A125-WEEKDAY($A125,3)),0))</f>
        <v/>
      </c>
      <c r="V125" s="30">
        <f>IF(OR($A125="",$C125=""),"",IFERROR(ROUND(AVERAGEIFS('Datos diario'!$M:$M,'Datos diario'!$C:$C,$C125,'Datos diario'!$B:$B,$A125-WEEKDAY($A125,3),'Datos diario'!$L:$L,"&gt;0"),1),""))</f>
        <v/>
      </c>
    </row>
    <row r="126">
      <c r="A126" s="26" t="n"/>
      <c r="B126" s="22" t="n"/>
      <c r="C126" s="23">
        <f>IF(B126="","",IFERROR(INDEX(Perfil!$B$6:$B$17,MATCH(B126,Perfil!$A$6:$A$17,0)),""))</f>
        <v/>
      </c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30">
        <f>IF(COUNT(D126:K126)=0,"",AVERAGE(D126:K126))</f>
        <v/>
      </c>
      <c r="M126" s="22" t="n"/>
      <c r="N126" s="22" t="n"/>
      <c r="O126" s="22" t="n"/>
      <c r="P126" s="22" t="n"/>
      <c r="Q126" s="31">
        <f>IF(OR($A126="",$C126=""),"",SUMIFS('Datos diario'!$E:$E,'Datos diario'!$C:$C,$C126,'Datos diario'!$B:$B,$A126-WEEKDAY($A126,3)))</f>
        <v/>
      </c>
      <c r="R126" s="32">
        <f>IF(OR($A126="",$C126=""),"",IFERROR(SUMIFS('Datos diario'!$F:$F,'Datos diario'!$C:$C,$C126,'Datos diario'!$B:$B,$A126-WEEKDAY($A126,3))/(SUMIFS('Datos diario'!$F:$F,'Datos diario'!$C:$C,$C126,'Datos diario'!$B:$B,$A126-WEEKDAY($A126,3))+SUMIFS('Datos diario'!$G:$G,'Datos diario'!$C:$C,$C126,'Datos diario'!$B:$B,$A126-WEEKDAY($A126,3))),""))</f>
        <v/>
      </c>
      <c r="S126" s="31">
        <f>IF(OR($A126="",$C126=""),"",SUMIFS('Datos diario'!$I:$I,'Datos diario'!$C:$C,$C126,'Datos diario'!$B:$B,$A126-WEEKDAY($A126,3)))</f>
        <v/>
      </c>
      <c r="T126" s="31">
        <f>IF(OR($A126="",$C126=""),"",SUMIFS('Datos diario'!$P:$P,'Datos diario'!$C:$C,$C126,'Datos diario'!$B:$B,$A126-WEEKDAY($A126,3)))</f>
        <v/>
      </c>
      <c r="U126" s="31">
        <f>IF(OR($A126="",$C126=""),"",ROUND(SUMIFS('Datos diario'!$U:$U,'Datos diario'!$C:$C,$C126,'Datos diario'!$B:$B,$A126-WEEKDAY($A126,3)),0))</f>
        <v/>
      </c>
      <c r="V126" s="30">
        <f>IF(OR($A126="",$C126=""),"",IFERROR(ROUND(AVERAGEIFS('Datos diario'!$M:$M,'Datos diario'!$C:$C,$C126,'Datos diario'!$B:$B,$A126-WEEKDAY($A126,3),'Datos diario'!$L:$L,"&gt;0"),1),""))</f>
        <v/>
      </c>
    </row>
    <row r="127">
      <c r="A127" s="26" t="n"/>
      <c r="B127" s="22" t="n"/>
      <c r="C127" s="23">
        <f>IF(B127="","",IFERROR(INDEX(Perfil!$B$6:$B$17,MATCH(B127,Perfil!$A$6:$A$17,0)),""))</f>
        <v/>
      </c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30">
        <f>IF(COUNT(D127:K127)=0,"",AVERAGE(D127:K127))</f>
        <v/>
      </c>
      <c r="M127" s="22" t="n"/>
      <c r="N127" s="22" t="n"/>
      <c r="O127" s="22" t="n"/>
      <c r="P127" s="22" t="n"/>
      <c r="Q127" s="31">
        <f>IF(OR($A127="",$C127=""),"",SUMIFS('Datos diario'!$E:$E,'Datos diario'!$C:$C,$C127,'Datos diario'!$B:$B,$A127-WEEKDAY($A127,3)))</f>
        <v/>
      </c>
      <c r="R127" s="32">
        <f>IF(OR($A127="",$C127=""),"",IFERROR(SUMIFS('Datos diario'!$F:$F,'Datos diario'!$C:$C,$C127,'Datos diario'!$B:$B,$A127-WEEKDAY($A127,3))/(SUMIFS('Datos diario'!$F:$F,'Datos diario'!$C:$C,$C127,'Datos diario'!$B:$B,$A127-WEEKDAY($A127,3))+SUMIFS('Datos diario'!$G:$G,'Datos diario'!$C:$C,$C127,'Datos diario'!$B:$B,$A127-WEEKDAY($A127,3))),""))</f>
        <v/>
      </c>
      <c r="S127" s="31">
        <f>IF(OR($A127="",$C127=""),"",SUMIFS('Datos diario'!$I:$I,'Datos diario'!$C:$C,$C127,'Datos diario'!$B:$B,$A127-WEEKDAY($A127,3)))</f>
        <v/>
      </c>
      <c r="T127" s="31">
        <f>IF(OR($A127="",$C127=""),"",SUMIFS('Datos diario'!$P:$P,'Datos diario'!$C:$C,$C127,'Datos diario'!$B:$B,$A127-WEEKDAY($A127,3)))</f>
        <v/>
      </c>
      <c r="U127" s="31">
        <f>IF(OR($A127="",$C127=""),"",ROUND(SUMIFS('Datos diario'!$U:$U,'Datos diario'!$C:$C,$C127,'Datos diario'!$B:$B,$A127-WEEKDAY($A127,3)),0))</f>
        <v/>
      </c>
      <c r="V127" s="30">
        <f>IF(OR($A127="",$C127=""),"",IFERROR(ROUND(AVERAGEIFS('Datos diario'!$M:$M,'Datos diario'!$C:$C,$C127,'Datos diario'!$B:$B,$A127-WEEKDAY($A127,3),'Datos diario'!$L:$L,"&gt;0"),1),""))</f>
        <v/>
      </c>
    </row>
    <row r="128">
      <c r="A128" s="26" t="n"/>
      <c r="B128" s="22" t="n"/>
      <c r="C128" s="23">
        <f>IF(B128="","",IFERROR(INDEX(Perfil!$B$6:$B$17,MATCH(B128,Perfil!$A$6:$A$17,0)),""))</f>
        <v/>
      </c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30">
        <f>IF(COUNT(D128:K128)=0,"",AVERAGE(D128:K128))</f>
        <v/>
      </c>
      <c r="M128" s="22" t="n"/>
      <c r="N128" s="22" t="n"/>
      <c r="O128" s="22" t="n"/>
      <c r="P128" s="22" t="n"/>
      <c r="Q128" s="31">
        <f>IF(OR($A128="",$C128=""),"",SUMIFS('Datos diario'!$E:$E,'Datos diario'!$C:$C,$C128,'Datos diario'!$B:$B,$A128-WEEKDAY($A128,3)))</f>
        <v/>
      </c>
      <c r="R128" s="32">
        <f>IF(OR($A128="",$C128=""),"",IFERROR(SUMIFS('Datos diario'!$F:$F,'Datos diario'!$C:$C,$C128,'Datos diario'!$B:$B,$A128-WEEKDAY($A128,3))/(SUMIFS('Datos diario'!$F:$F,'Datos diario'!$C:$C,$C128,'Datos diario'!$B:$B,$A128-WEEKDAY($A128,3))+SUMIFS('Datos diario'!$G:$G,'Datos diario'!$C:$C,$C128,'Datos diario'!$B:$B,$A128-WEEKDAY($A128,3))),""))</f>
        <v/>
      </c>
      <c r="S128" s="31">
        <f>IF(OR($A128="",$C128=""),"",SUMIFS('Datos diario'!$I:$I,'Datos diario'!$C:$C,$C128,'Datos diario'!$B:$B,$A128-WEEKDAY($A128,3)))</f>
        <v/>
      </c>
      <c r="T128" s="31">
        <f>IF(OR($A128="",$C128=""),"",SUMIFS('Datos diario'!$P:$P,'Datos diario'!$C:$C,$C128,'Datos diario'!$B:$B,$A128-WEEKDAY($A128,3)))</f>
        <v/>
      </c>
      <c r="U128" s="31">
        <f>IF(OR($A128="",$C128=""),"",ROUND(SUMIFS('Datos diario'!$U:$U,'Datos diario'!$C:$C,$C128,'Datos diario'!$B:$B,$A128-WEEKDAY($A128,3)),0))</f>
        <v/>
      </c>
      <c r="V128" s="30">
        <f>IF(OR($A128="",$C128=""),"",IFERROR(ROUND(AVERAGEIFS('Datos diario'!$M:$M,'Datos diario'!$C:$C,$C128,'Datos diario'!$B:$B,$A128-WEEKDAY($A128,3),'Datos diario'!$L:$L,"&gt;0"),1),""))</f>
        <v/>
      </c>
    </row>
    <row r="129">
      <c r="A129" s="26" t="n"/>
      <c r="B129" s="22" t="n"/>
      <c r="C129" s="23">
        <f>IF(B129="","",IFERROR(INDEX(Perfil!$B$6:$B$17,MATCH(B129,Perfil!$A$6:$A$17,0)),""))</f>
        <v/>
      </c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30">
        <f>IF(COUNT(D129:K129)=0,"",AVERAGE(D129:K129))</f>
        <v/>
      </c>
      <c r="M129" s="22" t="n"/>
      <c r="N129" s="22" t="n"/>
      <c r="O129" s="22" t="n"/>
      <c r="P129" s="22" t="n"/>
      <c r="Q129" s="31">
        <f>IF(OR($A129="",$C129=""),"",SUMIFS('Datos diario'!$E:$E,'Datos diario'!$C:$C,$C129,'Datos diario'!$B:$B,$A129-WEEKDAY($A129,3)))</f>
        <v/>
      </c>
      <c r="R129" s="32">
        <f>IF(OR($A129="",$C129=""),"",IFERROR(SUMIFS('Datos diario'!$F:$F,'Datos diario'!$C:$C,$C129,'Datos diario'!$B:$B,$A129-WEEKDAY($A129,3))/(SUMIFS('Datos diario'!$F:$F,'Datos diario'!$C:$C,$C129,'Datos diario'!$B:$B,$A129-WEEKDAY($A129,3))+SUMIFS('Datos diario'!$G:$G,'Datos diario'!$C:$C,$C129,'Datos diario'!$B:$B,$A129-WEEKDAY($A129,3))),""))</f>
        <v/>
      </c>
      <c r="S129" s="31">
        <f>IF(OR($A129="",$C129=""),"",SUMIFS('Datos diario'!$I:$I,'Datos diario'!$C:$C,$C129,'Datos diario'!$B:$B,$A129-WEEKDAY($A129,3)))</f>
        <v/>
      </c>
      <c r="T129" s="31">
        <f>IF(OR($A129="",$C129=""),"",SUMIFS('Datos diario'!$P:$P,'Datos diario'!$C:$C,$C129,'Datos diario'!$B:$B,$A129-WEEKDAY($A129,3)))</f>
        <v/>
      </c>
      <c r="U129" s="31">
        <f>IF(OR($A129="",$C129=""),"",ROUND(SUMIFS('Datos diario'!$U:$U,'Datos diario'!$C:$C,$C129,'Datos diario'!$B:$B,$A129-WEEKDAY($A129,3)),0))</f>
        <v/>
      </c>
      <c r="V129" s="30">
        <f>IF(OR($A129="",$C129=""),"",IFERROR(ROUND(AVERAGEIFS('Datos diario'!$M:$M,'Datos diario'!$C:$C,$C129,'Datos diario'!$B:$B,$A129-WEEKDAY($A129,3),'Datos diario'!$L:$L,"&gt;0"),1),""))</f>
        <v/>
      </c>
    </row>
    <row r="130">
      <c r="A130" s="26" t="n"/>
      <c r="B130" s="22" t="n"/>
      <c r="C130" s="23">
        <f>IF(B130="","",IFERROR(INDEX(Perfil!$B$6:$B$17,MATCH(B130,Perfil!$A$6:$A$17,0)),""))</f>
        <v/>
      </c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30">
        <f>IF(COUNT(D130:K130)=0,"",AVERAGE(D130:K130))</f>
        <v/>
      </c>
      <c r="M130" s="22" t="n"/>
      <c r="N130" s="22" t="n"/>
      <c r="O130" s="22" t="n"/>
      <c r="P130" s="22" t="n"/>
      <c r="Q130" s="31">
        <f>IF(OR($A130="",$C130=""),"",SUMIFS('Datos diario'!$E:$E,'Datos diario'!$C:$C,$C130,'Datos diario'!$B:$B,$A130-WEEKDAY($A130,3)))</f>
        <v/>
      </c>
      <c r="R130" s="32">
        <f>IF(OR($A130="",$C130=""),"",IFERROR(SUMIFS('Datos diario'!$F:$F,'Datos diario'!$C:$C,$C130,'Datos diario'!$B:$B,$A130-WEEKDAY($A130,3))/(SUMIFS('Datos diario'!$F:$F,'Datos diario'!$C:$C,$C130,'Datos diario'!$B:$B,$A130-WEEKDAY($A130,3))+SUMIFS('Datos diario'!$G:$G,'Datos diario'!$C:$C,$C130,'Datos diario'!$B:$B,$A130-WEEKDAY($A130,3))),""))</f>
        <v/>
      </c>
      <c r="S130" s="31">
        <f>IF(OR($A130="",$C130=""),"",SUMIFS('Datos diario'!$I:$I,'Datos diario'!$C:$C,$C130,'Datos diario'!$B:$B,$A130-WEEKDAY($A130,3)))</f>
        <v/>
      </c>
      <c r="T130" s="31">
        <f>IF(OR($A130="",$C130=""),"",SUMIFS('Datos diario'!$P:$P,'Datos diario'!$C:$C,$C130,'Datos diario'!$B:$B,$A130-WEEKDAY($A130,3)))</f>
        <v/>
      </c>
      <c r="U130" s="31">
        <f>IF(OR($A130="",$C130=""),"",ROUND(SUMIFS('Datos diario'!$U:$U,'Datos diario'!$C:$C,$C130,'Datos diario'!$B:$B,$A130-WEEKDAY($A130,3)),0))</f>
        <v/>
      </c>
      <c r="V130" s="30">
        <f>IF(OR($A130="",$C130=""),"",IFERROR(ROUND(AVERAGEIFS('Datos diario'!$M:$M,'Datos diario'!$C:$C,$C130,'Datos diario'!$B:$B,$A130-WEEKDAY($A130,3),'Datos diario'!$L:$L,"&gt;0"),1),""))</f>
        <v/>
      </c>
    </row>
    <row r="131">
      <c r="A131" s="26" t="n"/>
      <c r="B131" s="22" t="n"/>
      <c r="C131" s="23">
        <f>IF(B131="","",IFERROR(INDEX(Perfil!$B$6:$B$17,MATCH(B131,Perfil!$A$6:$A$17,0)),""))</f>
        <v/>
      </c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30">
        <f>IF(COUNT(D131:K131)=0,"",AVERAGE(D131:K131))</f>
        <v/>
      </c>
      <c r="M131" s="22" t="n"/>
      <c r="N131" s="22" t="n"/>
      <c r="O131" s="22" t="n"/>
      <c r="P131" s="22" t="n"/>
      <c r="Q131" s="31">
        <f>IF(OR($A131="",$C131=""),"",SUMIFS('Datos diario'!$E:$E,'Datos diario'!$C:$C,$C131,'Datos diario'!$B:$B,$A131-WEEKDAY($A131,3)))</f>
        <v/>
      </c>
      <c r="R131" s="32">
        <f>IF(OR($A131="",$C131=""),"",IFERROR(SUMIFS('Datos diario'!$F:$F,'Datos diario'!$C:$C,$C131,'Datos diario'!$B:$B,$A131-WEEKDAY($A131,3))/(SUMIFS('Datos diario'!$F:$F,'Datos diario'!$C:$C,$C131,'Datos diario'!$B:$B,$A131-WEEKDAY($A131,3))+SUMIFS('Datos diario'!$G:$G,'Datos diario'!$C:$C,$C131,'Datos diario'!$B:$B,$A131-WEEKDAY($A131,3))),""))</f>
        <v/>
      </c>
      <c r="S131" s="31">
        <f>IF(OR($A131="",$C131=""),"",SUMIFS('Datos diario'!$I:$I,'Datos diario'!$C:$C,$C131,'Datos diario'!$B:$B,$A131-WEEKDAY($A131,3)))</f>
        <v/>
      </c>
      <c r="T131" s="31">
        <f>IF(OR($A131="",$C131=""),"",SUMIFS('Datos diario'!$P:$P,'Datos diario'!$C:$C,$C131,'Datos diario'!$B:$B,$A131-WEEKDAY($A131,3)))</f>
        <v/>
      </c>
      <c r="U131" s="31">
        <f>IF(OR($A131="",$C131=""),"",ROUND(SUMIFS('Datos diario'!$U:$U,'Datos diario'!$C:$C,$C131,'Datos diario'!$B:$B,$A131-WEEKDAY($A131,3)),0))</f>
        <v/>
      </c>
      <c r="V131" s="30">
        <f>IF(OR($A131="",$C131=""),"",IFERROR(ROUND(AVERAGEIFS('Datos diario'!$M:$M,'Datos diario'!$C:$C,$C131,'Datos diario'!$B:$B,$A131-WEEKDAY($A131,3),'Datos diario'!$L:$L,"&gt;0"),1),""))</f>
        <v/>
      </c>
    </row>
    <row r="132">
      <c r="A132" s="26" t="n"/>
      <c r="B132" s="22" t="n"/>
      <c r="C132" s="23">
        <f>IF(B132="","",IFERROR(INDEX(Perfil!$B$6:$B$17,MATCH(B132,Perfil!$A$6:$A$17,0)),""))</f>
        <v/>
      </c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30">
        <f>IF(COUNT(D132:K132)=0,"",AVERAGE(D132:K132))</f>
        <v/>
      </c>
      <c r="M132" s="22" t="n"/>
      <c r="N132" s="22" t="n"/>
      <c r="O132" s="22" t="n"/>
      <c r="P132" s="22" t="n"/>
      <c r="Q132" s="31">
        <f>IF(OR($A132="",$C132=""),"",SUMIFS('Datos diario'!$E:$E,'Datos diario'!$C:$C,$C132,'Datos diario'!$B:$B,$A132-WEEKDAY($A132,3)))</f>
        <v/>
      </c>
      <c r="R132" s="32">
        <f>IF(OR($A132="",$C132=""),"",IFERROR(SUMIFS('Datos diario'!$F:$F,'Datos diario'!$C:$C,$C132,'Datos diario'!$B:$B,$A132-WEEKDAY($A132,3))/(SUMIFS('Datos diario'!$F:$F,'Datos diario'!$C:$C,$C132,'Datos diario'!$B:$B,$A132-WEEKDAY($A132,3))+SUMIFS('Datos diario'!$G:$G,'Datos diario'!$C:$C,$C132,'Datos diario'!$B:$B,$A132-WEEKDAY($A132,3))),""))</f>
        <v/>
      </c>
      <c r="S132" s="31">
        <f>IF(OR($A132="",$C132=""),"",SUMIFS('Datos diario'!$I:$I,'Datos diario'!$C:$C,$C132,'Datos diario'!$B:$B,$A132-WEEKDAY($A132,3)))</f>
        <v/>
      </c>
      <c r="T132" s="31">
        <f>IF(OR($A132="",$C132=""),"",SUMIFS('Datos diario'!$P:$P,'Datos diario'!$C:$C,$C132,'Datos diario'!$B:$B,$A132-WEEKDAY($A132,3)))</f>
        <v/>
      </c>
      <c r="U132" s="31">
        <f>IF(OR($A132="",$C132=""),"",ROUND(SUMIFS('Datos diario'!$U:$U,'Datos diario'!$C:$C,$C132,'Datos diario'!$B:$B,$A132-WEEKDAY($A132,3)),0))</f>
        <v/>
      </c>
      <c r="V132" s="30">
        <f>IF(OR($A132="",$C132=""),"",IFERROR(ROUND(AVERAGEIFS('Datos diario'!$M:$M,'Datos diario'!$C:$C,$C132,'Datos diario'!$B:$B,$A132-WEEKDAY($A132,3),'Datos diario'!$L:$L,"&gt;0"),1),""))</f>
        <v/>
      </c>
    </row>
    <row r="133">
      <c r="A133" s="26" t="n"/>
      <c r="B133" s="22" t="n"/>
      <c r="C133" s="23">
        <f>IF(B133="","",IFERROR(INDEX(Perfil!$B$6:$B$17,MATCH(B133,Perfil!$A$6:$A$17,0)),""))</f>
        <v/>
      </c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30">
        <f>IF(COUNT(D133:K133)=0,"",AVERAGE(D133:K133))</f>
        <v/>
      </c>
      <c r="M133" s="22" t="n"/>
      <c r="N133" s="22" t="n"/>
      <c r="O133" s="22" t="n"/>
      <c r="P133" s="22" t="n"/>
      <c r="Q133" s="31">
        <f>IF(OR($A133="",$C133=""),"",SUMIFS('Datos diario'!$E:$E,'Datos diario'!$C:$C,$C133,'Datos diario'!$B:$B,$A133-WEEKDAY($A133,3)))</f>
        <v/>
      </c>
      <c r="R133" s="32">
        <f>IF(OR($A133="",$C133=""),"",IFERROR(SUMIFS('Datos diario'!$F:$F,'Datos diario'!$C:$C,$C133,'Datos diario'!$B:$B,$A133-WEEKDAY($A133,3))/(SUMIFS('Datos diario'!$F:$F,'Datos diario'!$C:$C,$C133,'Datos diario'!$B:$B,$A133-WEEKDAY($A133,3))+SUMIFS('Datos diario'!$G:$G,'Datos diario'!$C:$C,$C133,'Datos diario'!$B:$B,$A133-WEEKDAY($A133,3))),""))</f>
        <v/>
      </c>
      <c r="S133" s="31">
        <f>IF(OR($A133="",$C133=""),"",SUMIFS('Datos diario'!$I:$I,'Datos diario'!$C:$C,$C133,'Datos diario'!$B:$B,$A133-WEEKDAY($A133,3)))</f>
        <v/>
      </c>
      <c r="T133" s="31">
        <f>IF(OR($A133="",$C133=""),"",SUMIFS('Datos diario'!$P:$P,'Datos diario'!$C:$C,$C133,'Datos diario'!$B:$B,$A133-WEEKDAY($A133,3)))</f>
        <v/>
      </c>
      <c r="U133" s="31">
        <f>IF(OR($A133="",$C133=""),"",ROUND(SUMIFS('Datos diario'!$U:$U,'Datos diario'!$C:$C,$C133,'Datos diario'!$B:$B,$A133-WEEKDAY($A133,3)),0))</f>
        <v/>
      </c>
      <c r="V133" s="30">
        <f>IF(OR($A133="",$C133=""),"",IFERROR(ROUND(AVERAGEIFS('Datos diario'!$M:$M,'Datos diario'!$C:$C,$C133,'Datos diario'!$B:$B,$A133-WEEKDAY($A133,3),'Datos diario'!$L:$L,"&gt;0"),1),""))</f>
        <v/>
      </c>
    </row>
    <row r="134">
      <c r="A134" s="26" t="n"/>
      <c r="B134" s="22" t="n"/>
      <c r="C134" s="23">
        <f>IF(B134="","",IFERROR(INDEX(Perfil!$B$6:$B$17,MATCH(B134,Perfil!$A$6:$A$17,0)),""))</f>
        <v/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30">
        <f>IF(COUNT(D134:K134)=0,"",AVERAGE(D134:K134))</f>
        <v/>
      </c>
      <c r="M134" s="22" t="n"/>
      <c r="N134" s="22" t="n"/>
      <c r="O134" s="22" t="n"/>
      <c r="P134" s="22" t="n"/>
      <c r="Q134" s="31">
        <f>IF(OR($A134="",$C134=""),"",SUMIFS('Datos diario'!$E:$E,'Datos diario'!$C:$C,$C134,'Datos diario'!$B:$B,$A134-WEEKDAY($A134,3)))</f>
        <v/>
      </c>
      <c r="R134" s="32">
        <f>IF(OR($A134="",$C134=""),"",IFERROR(SUMIFS('Datos diario'!$F:$F,'Datos diario'!$C:$C,$C134,'Datos diario'!$B:$B,$A134-WEEKDAY($A134,3))/(SUMIFS('Datos diario'!$F:$F,'Datos diario'!$C:$C,$C134,'Datos diario'!$B:$B,$A134-WEEKDAY($A134,3))+SUMIFS('Datos diario'!$G:$G,'Datos diario'!$C:$C,$C134,'Datos diario'!$B:$B,$A134-WEEKDAY($A134,3))),""))</f>
        <v/>
      </c>
      <c r="S134" s="31">
        <f>IF(OR($A134="",$C134=""),"",SUMIFS('Datos diario'!$I:$I,'Datos diario'!$C:$C,$C134,'Datos diario'!$B:$B,$A134-WEEKDAY($A134,3)))</f>
        <v/>
      </c>
      <c r="T134" s="31">
        <f>IF(OR($A134="",$C134=""),"",SUMIFS('Datos diario'!$P:$P,'Datos diario'!$C:$C,$C134,'Datos diario'!$B:$B,$A134-WEEKDAY($A134,3)))</f>
        <v/>
      </c>
      <c r="U134" s="31">
        <f>IF(OR($A134="",$C134=""),"",ROUND(SUMIFS('Datos diario'!$U:$U,'Datos diario'!$C:$C,$C134,'Datos diario'!$B:$B,$A134-WEEKDAY($A134,3)),0))</f>
        <v/>
      </c>
      <c r="V134" s="30">
        <f>IF(OR($A134="",$C134=""),"",IFERROR(ROUND(AVERAGEIFS('Datos diario'!$M:$M,'Datos diario'!$C:$C,$C134,'Datos diario'!$B:$B,$A134-WEEKDAY($A134,3),'Datos diario'!$L:$L,"&gt;0"),1),""))</f>
        <v/>
      </c>
    </row>
    <row r="135">
      <c r="A135" s="26" t="n"/>
      <c r="B135" s="22" t="n"/>
      <c r="C135" s="23">
        <f>IF(B135="","",IFERROR(INDEX(Perfil!$B$6:$B$17,MATCH(B135,Perfil!$A$6:$A$17,0)),""))</f>
        <v/>
      </c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30">
        <f>IF(COUNT(D135:K135)=0,"",AVERAGE(D135:K135))</f>
        <v/>
      </c>
      <c r="M135" s="22" t="n"/>
      <c r="N135" s="22" t="n"/>
      <c r="O135" s="22" t="n"/>
      <c r="P135" s="22" t="n"/>
      <c r="Q135" s="31">
        <f>IF(OR($A135="",$C135=""),"",SUMIFS('Datos diario'!$E:$E,'Datos diario'!$C:$C,$C135,'Datos diario'!$B:$B,$A135-WEEKDAY($A135,3)))</f>
        <v/>
      </c>
      <c r="R135" s="32">
        <f>IF(OR($A135="",$C135=""),"",IFERROR(SUMIFS('Datos diario'!$F:$F,'Datos diario'!$C:$C,$C135,'Datos diario'!$B:$B,$A135-WEEKDAY($A135,3))/(SUMIFS('Datos diario'!$F:$F,'Datos diario'!$C:$C,$C135,'Datos diario'!$B:$B,$A135-WEEKDAY($A135,3))+SUMIFS('Datos diario'!$G:$G,'Datos diario'!$C:$C,$C135,'Datos diario'!$B:$B,$A135-WEEKDAY($A135,3))),""))</f>
        <v/>
      </c>
      <c r="S135" s="31">
        <f>IF(OR($A135="",$C135=""),"",SUMIFS('Datos diario'!$I:$I,'Datos diario'!$C:$C,$C135,'Datos diario'!$B:$B,$A135-WEEKDAY($A135,3)))</f>
        <v/>
      </c>
      <c r="T135" s="31">
        <f>IF(OR($A135="",$C135=""),"",SUMIFS('Datos diario'!$P:$P,'Datos diario'!$C:$C,$C135,'Datos diario'!$B:$B,$A135-WEEKDAY($A135,3)))</f>
        <v/>
      </c>
      <c r="U135" s="31">
        <f>IF(OR($A135="",$C135=""),"",ROUND(SUMIFS('Datos diario'!$U:$U,'Datos diario'!$C:$C,$C135,'Datos diario'!$B:$B,$A135-WEEKDAY($A135,3)),0))</f>
        <v/>
      </c>
      <c r="V135" s="30">
        <f>IF(OR($A135="",$C135=""),"",IFERROR(ROUND(AVERAGEIFS('Datos diario'!$M:$M,'Datos diario'!$C:$C,$C135,'Datos diario'!$B:$B,$A135-WEEKDAY($A135,3),'Datos diario'!$L:$L,"&gt;0"),1),""))</f>
        <v/>
      </c>
    </row>
    <row r="136">
      <c r="A136" s="26" t="n"/>
      <c r="B136" s="22" t="n"/>
      <c r="C136" s="23">
        <f>IF(B136="","",IFERROR(INDEX(Perfil!$B$6:$B$17,MATCH(B136,Perfil!$A$6:$A$17,0)),""))</f>
        <v/>
      </c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30">
        <f>IF(COUNT(D136:K136)=0,"",AVERAGE(D136:K136))</f>
        <v/>
      </c>
      <c r="M136" s="22" t="n"/>
      <c r="N136" s="22" t="n"/>
      <c r="O136" s="22" t="n"/>
      <c r="P136" s="22" t="n"/>
      <c r="Q136" s="31">
        <f>IF(OR($A136="",$C136=""),"",SUMIFS('Datos diario'!$E:$E,'Datos diario'!$C:$C,$C136,'Datos diario'!$B:$B,$A136-WEEKDAY($A136,3)))</f>
        <v/>
      </c>
      <c r="R136" s="32">
        <f>IF(OR($A136="",$C136=""),"",IFERROR(SUMIFS('Datos diario'!$F:$F,'Datos diario'!$C:$C,$C136,'Datos diario'!$B:$B,$A136-WEEKDAY($A136,3))/(SUMIFS('Datos diario'!$F:$F,'Datos diario'!$C:$C,$C136,'Datos diario'!$B:$B,$A136-WEEKDAY($A136,3))+SUMIFS('Datos diario'!$G:$G,'Datos diario'!$C:$C,$C136,'Datos diario'!$B:$B,$A136-WEEKDAY($A136,3))),""))</f>
        <v/>
      </c>
      <c r="S136" s="31">
        <f>IF(OR($A136="",$C136=""),"",SUMIFS('Datos diario'!$I:$I,'Datos diario'!$C:$C,$C136,'Datos diario'!$B:$B,$A136-WEEKDAY($A136,3)))</f>
        <v/>
      </c>
      <c r="T136" s="31">
        <f>IF(OR($A136="",$C136=""),"",SUMIFS('Datos diario'!$P:$P,'Datos diario'!$C:$C,$C136,'Datos diario'!$B:$B,$A136-WEEKDAY($A136,3)))</f>
        <v/>
      </c>
      <c r="U136" s="31">
        <f>IF(OR($A136="",$C136=""),"",ROUND(SUMIFS('Datos diario'!$U:$U,'Datos diario'!$C:$C,$C136,'Datos diario'!$B:$B,$A136-WEEKDAY($A136,3)),0))</f>
        <v/>
      </c>
      <c r="V136" s="30">
        <f>IF(OR($A136="",$C136=""),"",IFERROR(ROUND(AVERAGEIFS('Datos diario'!$M:$M,'Datos diario'!$C:$C,$C136,'Datos diario'!$B:$B,$A136-WEEKDAY($A136,3),'Datos diario'!$L:$L,"&gt;0"),1),""))</f>
        <v/>
      </c>
    </row>
    <row r="137">
      <c r="A137" s="26" t="n"/>
      <c r="B137" s="22" t="n"/>
      <c r="C137" s="23">
        <f>IF(B137="","",IFERROR(INDEX(Perfil!$B$6:$B$17,MATCH(B137,Perfil!$A$6:$A$17,0)),""))</f>
        <v/>
      </c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30">
        <f>IF(COUNT(D137:K137)=0,"",AVERAGE(D137:K137))</f>
        <v/>
      </c>
      <c r="M137" s="22" t="n"/>
      <c r="N137" s="22" t="n"/>
      <c r="O137" s="22" t="n"/>
      <c r="P137" s="22" t="n"/>
      <c r="Q137" s="31">
        <f>IF(OR($A137="",$C137=""),"",SUMIFS('Datos diario'!$E:$E,'Datos diario'!$C:$C,$C137,'Datos diario'!$B:$B,$A137-WEEKDAY($A137,3)))</f>
        <v/>
      </c>
      <c r="R137" s="32">
        <f>IF(OR($A137="",$C137=""),"",IFERROR(SUMIFS('Datos diario'!$F:$F,'Datos diario'!$C:$C,$C137,'Datos diario'!$B:$B,$A137-WEEKDAY($A137,3))/(SUMIFS('Datos diario'!$F:$F,'Datos diario'!$C:$C,$C137,'Datos diario'!$B:$B,$A137-WEEKDAY($A137,3))+SUMIFS('Datos diario'!$G:$G,'Datos diario'!$C:$C,$C137,'Datos diario'!$B:$B,$A137-WEEKDAY($A137,3))),""))</f>
        <v/>
      </c>
      <c r="S137" s="31">
        <f>IF(OR($A137="",$C137=""),"",SUMIFS('Datos diario'!$I:$I,'Datos diario'!$C:$C,$C137,'Datos diario'!$B:$B,$A137-WEEKDAY($A137,3)))</f>
        <v/>
      </c>
      <c r="T137" s="31">
        <f>IF(OR($A137="",$C137=""),"",SUMIFS('Datos diario'!$P:$P,'Datos diario'!$C:$C,$C137,'Datos diario'!$B:$B,$A137-WEEKDAY($A137,3)))</f>
        <v/>
      </c>
      <c r="U137" s="31">
        <f>IF(OR($A137="",$C137=""),"",ROUND(SUMIFS('Datos diario'!$U:$U,'Datos diario'!$C:$C,$C137,'Datos diario'!$B:$B,$A137-WEEKDAY($A137,3)),0))</f>
        <v/>
      </c>
      <c r="V137" s="30">
        <f>IF(OR($A137="",$C137=""),"",IFERROR(ROUND(AVERAGEIFS('Datos diario'!$M:$M,'Datos diario'!$C:$C,$C137,'Datos diario'!$B:$B,$A137-WEEKDAY($A137,3),'Datos diario'!$L:$L,"&gt;0"),1),""))</f>
        <v/>
      </c>
    </row>
    <row r="138">
      <c r="A138" s="26" t="n"/>
      <c r="B138" s="22" t="n"/>
      <c r="C138" s="23">
        <f>IF(B138="","",IFERROR(INDEX(Perfil!$B$6:$B$17,MATCH(B138,Perfil!$A$6:$A$17,0)),""))</f>
        <v/>
      </c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30">
        <f>IF(COUNT(D138:K138)=0,"",AVERAGE(D138:K138))</f>
        <v/>
      </c>
      <c r="M138" s="22" t="n"/>
      <c r="N138" s="22" t="n"/>
      <c r="O138" s="22" t="n"/>
      <c r="P138" s="22" t="n"/>
      <c r="Q138" s="31">
        <f>IF(OR($A138="",$C138=""),"",SUMIFS('Datos diario'!$E:$E,'Datos diario'!$C:$C,$C138,'Datos diario'!$B:$B,$A138-WEEKDAY($A138,3)))</f>
        <v/>
      </c>
      <c r="R138" s="32">
        <f>IF(OR($A138="",$C138=""),"",IFERROR(SUMIFS('Datos diario'!$F:$F,'Datos diario'!$C:$C,$C138,'Datos diario'!$B:$B,$A138-WEEKDAY($A138,3))/(SUMIFS('Datos diario'!$F:$F,'Datos diario'!$C:$C,$C138,'Datos diario'!$B:$B,$A138-WEEKDAY($A138,3))+SUMIFS('Datos diario'!$G:$G,'Datos diario'!$C:$C,$C138,'Datos diario'!$B:$B,$A138-WEEKDAY($A138,3))),""))</f>
        <v/>
      </c>
      <c r="S138" s="31">
        <f>IF(OR($A138="",$C138=""),"",SUMIFS('Datos diario'!$I:$I,'Datos diario'!$C:$C,$C138,'Datos diario'!$B:$B,$A138-WEEKDAY($A138,3)))</f>
        <v/>
      </c>
      <c r="T138" s="31">
        <f>IF(OR($A138="",$C138=""),"",SUMIFS('Datos diario'!$P:$P,'Datos diario'!$C:$C,$C138,'Datos diario'!$B:$B,$A138-WEEKDAY($A138,3)))</f>
        <v/>
      </c>
      <c r="U138" s="31">
        <f>IF(OR($A138="",$C138=""),"",ROUND(SUMIFS('Datos diario'!$U:$U,'Datos diario'!$C:$C,$C138,'Datos diario'!$B:$B,$A138-WEEKDAY($A138,3)),0))</f>
        <v/>
      </c>
      <c r="V138" s="30">
        <f>IF(OR($A138="",$C138=""),"",IFERROR(ROUND(AVERAGEIFS('Datos diario'!$M:$M,'Datos diario'!$C:$C,$C138,'Datos diario'!$B:$B,$A138-WEEKDAY($A138,3),'Datos diario'!$L:$L,"&gt;0"),1),""))</f>
        <v/>
      </c>
    </row>
    <row r="139">
      <c r="A139" s="26" t="n"/>
      <c r="B139" s="22" t="n"/>
      <c r="C139" s="23">
        <f>IF(B139="","",IFERROR(INDEX(Perfil!$B$6:$B$17,MATCH(B139,Perfil!$A$6:$A$17,0)),""))</f>
        <v/>
      </c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30">
        <f>IF(COUNT(D139:K139)=0,"",AVERAGE(D139:K139))</f>
        <v/>
      </c>
      <c r="M139" s="22" t="n"/>
      <c r="N139" s="22" t="n"/>
      <c r="O139" s="22" t="n"/>
      <c r="P139" s="22" t="n"/>
      <c r="Q139" s="31">
        <f>IF(OR($A139="",$C139=""),"",SUMIFS('Datos diario'!$E:$E,'Datos diario'!$C:$C,$C139,'Datos diario'!$B:$B,$A139-WEEKDAY($A139,3)))</f>
        <v/>
      </c>
      <c r="R139" s="32">
        <f>IF(OR($A139="",$C139=""),"",IFERROR(SUMIFS('Datos diario'!$F:$F,'Datos diario'!$C:$C,$C139,'Datos diario'!$B:$B,$A139-WEEKDAY($A139,3))/(SUMIFS('Datos diario'!$F:$F,'Datos diario'!$C:$C,$C139,'Datos diario'!$B:$B,$A139-WEEKDAY($A139,3))+SUMIFS('Datos diario'!$G:$G,'Datos diario'!$C:$C,$C139,'Datos diario'!$B:$B,$A139-WEEKDAY($A139,3))),""))</f>
        <v/>
      </c>
      <c r="S139" s="31">
        <f>IF(OR($A139="",$C139=""),"",SUMIFS('Datos diario'!$I:$I,'Datos diario'!$C:$C,$C139,'Datos diario'!$B:$B,$A139-WEEKDAY($A139,3)))</f>
        <v/>
      </c>
      <c r="T139" s="31">
        <f>IF(OR($A139="",$C139=""),"",SUMIFS('Datos diario'!$P:$P,'Datos diario'!$C:$C,$C139,'Datos diario'!$B:$B,$A139-WEEKDAY($A139,3)))</f>
        <v/>
      </c>
      <c r="U139" s="31">
        <f>IF(OR($A139="",$C139=""),"",ROUND(SUMIFS('Datos diario'!$U:$U,'Datos diario'!$C:$C,$C139,'Datos diario'!$B:$B,$A139-WEEKDAY($A139,3)),0))</f>
        <v/>
      </c>
      <c r="V139" s="30">
        <f>IF(OR($A139="",$C139=""),"",IFERROR(ROUND(AVERAGEIFS('Datos diario'!$M:$M,'Datos diario'!$C:$C,$C139,'Datos diario'!$B:$B,$A139-WEEKDAY($A139,3),'Datos diario'!$L:$L,"&gt;0"),1),""))</f>
        <v/>
      </c>
    </row>
    <row r="140">
      <c r="A140" s="26" t="n"/>
      <c r="B140" s="22" t="n"/>
      <c r="C140" s="23">
        <f>IF(B140="","",IFERROR(INDEX(Perfil!$B$6:$B$17,MATCH(B140,Perfil!$A$6:$A$17,0)),""))</f>
        <v/>
      </c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30">
        <f>IF(COUNT(D140:K140)=0,"",AVERAGE(D140:K140))</f>
        <v/>
      </c>
      <c r="M140" s="22" t="n"/>
      <c r="N140" s="22" t="n"/>
      <c r="O140" s="22" t="n"/>
      <c r="P140" s="22" t="n"/>
      <c r="Q140" s="31">
        <f>IF(OR($A140="",$C140=""),"",SUMIFS('Datos diario'!$E:$E,'Datos diario'!$C:$C,$C140,'Datos diario'!$B:$B,$A140-WEEKDAY($A140,3)))</f>
        <v/>
      </c>
      <c r="R140" s="32">
        <f>IF(OR($A140="",$C140=""),"",IFERROR(SUMIFS('Datos diario'!$F:$F,'Datos diario'!$C:$C,$C140,'Datos diario'!$B:$B,$A140-WEEKDAY($A140,3))/(SUMIFS('Datos diario'!$F:$F,'Datos diario'!$C:$C,$C140,'Datos diario'!$B:$B,$A140-WEEKDAY($A140,3))+SUMIFS('Datos diario'!$G:$G,'Datos diario'!$C:$C,$C140,'Datos diario'!$B:$B,$A140-WEEKDAY($A140,3))),""))</f>
        <v/>
      </c>
      <c r="S140" s="31">
        <f>IF(OR($A140="",$C140=""),"",SUMIFS('Datos diario'!$I:$I,'Datos diario'!$C:$C,$C140,'Datos diario'!$B:$B,$A140-WEEKDAY($A140,3)))</f>
        <v/>
      </c>
      <c r="T140" s="31">
        <f>IF(OR($A140="",$C140=""),"",SUMIFS('Datos diario'!$P:$P,'Datos diario'!$C:$C,$C140,'Datos diario'!$B:$B,$A140-WEEKDAY($A140,3)))</f>
        <v/>
      </c>
      <c r="U140" s="31">
        <f>IF(OR($A140="",$C140=""),"",ROUND(SUMIFS('Datos diario'!$U:$U,'Datos diario'!$C:$C,$C140,'Datos diario'!$B:$B,$A140-WEEKDAY($A140,3)),0))</f>
        <v/>
      </c>
      <c r="V140" s="30">
        <f>IF(OR($A140="",$C140=""),"",IFERROR(ROUND(AVERAGEIFS('Datos diario'!$M:$M,'Datos diario'!$C:$C,$C140,'Datos diario'!$B:$B,$A140-WEEKDAY($A140,3),'Datos diario'!$L:$L,"&gt;0"),1),""))</f>
        <v/>
      </c>
    </row>
    <row r="141">
      <c r="A141" s="26" t="n"/>
      <c r="B141" s="22" t="n"/>
      <c r="C141" s="23">
        <f>IF(B141="","",IFERROR(INDEX(Perfil!$B$6:$B$17,MATCH(B141,Perfil!$A$6:$A$17,0)),""))</f>
        <v/>
      </c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30">
        <f>IF(COUNT(D141:K141)=0,"",AVERAGE(D141:K141))</f>
        <v/>
      </c>
      <c r="M141" s="22" t="n"/>
      <c r="N141" s="22" t="n"/>
      <c r="O141" s="22" t="n"/>
      <c r="P141" s="22" t="n"/>
      <c r="Q141" s="31">
        <f>IF(OR($A141="",$C141=""),"",SUMIFS('Datos diario'!$E:$E,'Datos diario'!$C:$C,$C141,'Datos diario'!$B:$B,$A141-WEEKDAY($A141,3)))</f>
        <v/>
      </c>
      <c r="R141" s="32">
        <f>IF(OR($A141="",$C141=""),"",IFERROR(SUMIFS('Datos diario'!$F:$F,'Datos diario'!$C:$C,$C141,'Datos diario'!$B:$B,$A141-WEEKDAY($A141,3))/(SUMIFS('Datos diario'!$F:$F,'Datos diario'!$C:$C,$C141,'Datos diario'!$B:$B,$A141-WEEKDAY($A141,3))+SUMIFS('Datos diario'!$G:$G,'Datos diario'!$C:$C,$C141,'Datos diario'!$B:$B,$A141-WEEKDAY($A141,3))),""))</f>
        <v/>
      </c>
      <c r="S141" s="31">
        <f>IF(OR($A141="",$C141=""),"",SUMIFS('Datos diario'!$I:$I,'Datos diario'!$C:$C,$C141,'Datos diario'!$B:$B,$A141-WEEKDAY($A141,3)))</f>
        <v/>
      </c>
      <c r="T141" s="31">
        <f>IF(OR($A141="",$C141=""),"",SUMIFS('Datos diario'!$P:$P,'Datos diario'!$C:$C,$C141,'Datos diario'!$B:$B,$A141-WEEKDAY($A141,3)))</f>
        <v/>
      </c>
      <c r="U141" s="31">
        <f>IF(OR($A141="",$C141=""),"",ROUND(SUMIFS('Datos diario'!$U:$U,'Datos diario'!$C:$C,$C141,'Datos diario'!$B:$B,$A141-WEEKDAY($A141,3)),0))</f>
        <v/>
      </c>
      <c r="V141" s="30">
        <f>IF(OR($A141="",$C141=""),"",IFERROR(ROUND(AVERAGEIFS('Datos diario'!$M:$M,'Datos diario'!$C:$C,$C141,'Datos diario'!$B:$B,$A141-WEEKDAY($A141,3),'Datos diario'!$L:$L,"&gt;0"),1),""))</f>
        <v/>
      </c>
    </row>
    <row r="142">
      <c r="A142" s="26" t="n"/>
      <c r="B142" s="22" t="n"/>
      <c r="C142" s="23">
        <f>IF(B142="","",IFERROR(INDEX(Perfil!$B$6:$B$17,MATCH(B142,Perfil!$A$6:$A$17,0)),""))</f>
        <v/>
      </c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30">
        <f>IF(COUNT(D142:K142)=0,"",AVERAGE(D142:K142))</f>
        <v/>
      </c>
      <c r="M142" s="22" t="n"/>
      <c r="N142" s="22" t="n"/>
      <c r="O142" s="22" t="n"/>
      <c r="P142" s="22" t="n"/>
      <c r="Q142" s="31">
        <f>IF(OR($A142="",$C142=""),"",SUMIFS('Datos diario'!$E:$E,'Datos diario'!$C:$C,$C142,'Datos diario'!$B:$B,$A142-WEEKDAY($A142,3)))</f>
        <v/>
      </c>
      <c r="R142" s="32">
        <f>IF(OR($A142="",$C142=""),"",IFERROR(SUMIFS('Datos diario'!$F:$F,'Datos diario'!$C:$C,$C142,'Datos diario'!$B:$B,$A142-WEEKDAY($A142,3))/(SUMIFS('Datos diario'!$F:$F,'Datos diario'!$C:$C,$C142,'Datos diario'!$B:$B,$A142-WEEKDAY($A142,3))+SUMIFS('Datos diario'!$G:$G,'Datos diario'!$C:$C,$C142,'Datos diario'!$B:$B,$A142-WEEKDAY($A142,3))),""))</f>
        <v/>
      </c>
      <c r="S142" s="31">
        <f>IF(OR($A142="",$C142=""),"",SUMIFS('Datos diario'!$I:$I,'Datos diario'!$C:$C,$C142,'Datos diario'!$B:$B,$A142-WEEKDAY($A142,3)))</f>
        <v/>
      </c>
      <c r="T142" s="31">
        <f>IF(OR($A142="",$C142=""),"",SUMIFS('Datos diario'!$P:$P,'Datos diario'!$C:$C,$C142,'Datos diario'!$B:$B,$A142-WEEKDAY($A142,3)))</f>
        <v/>
      </c>
      <c r="U142" s="31">
        <f>IF(OR($A142="",$C142=""),"",ROUND(SUMIFS('Datos diario'!$U:$U,'Datos diario'!$C:$C,$C142,'Datos diario'!$B:$B,$A142-WEEKDAY($A142,3)),0))</f>
        <v/>
      </c>
      <c r="V142" s="30">
        <f>IF(OR($A142="",$C142=""),"",IFERROR(ROUND(AVERAGEIFS('Datos diario'!$M:$M,'Datos diario'!$C:$C,$C142,'Datos diario'!$B:$B,$A142-WEEKDAY($A142,3),'Datos diario'!$L:$L,"&gt;0"),1),""))</f>
        <v/>
      </c>
    </row>
    <row r="143">
      <c r="A143" s="26" t="n"/>
      <c r="B143" s="22" t="n"/>
      <c r="C143" s="23">
        <f>IF(B143="","",IFERROR(INDEX(Perfil!$B$6:$B$17,MATCH(B143,Perfil!$A$6:$A$17,0)),""))</f>
        <v/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30">
        <f>IF(COUNT(D143:K143)=0,"",AVERAGE(D143:K143))</f>
        <v/>
      </c>
      <c r="M143" s="22" t="n"/>
      <c r="N143" s="22" t="n"/>
      <c r="O143" s="22" t="n"/>
      <c r="P143" s="22" t="n"/>
      <c r="Q143" s="31">
        <f>IF(OR($A143="",$C143=""),"",SUMIFS('Datos diario'!$E:$E,'Datos diario'!$C:$C,$C143,'Datos diario'!$B:$B,$A143-WEEKDAY($A143,3)))</f>
        <v/>
      </c>
      <c r="R143" s="32">
        <f>IF(OR($A143="",$C143=""),"",IFERROR(SUMIFS('Datos diario'!$F:$F,'Datos diario'!$C:$C,$C143,'Datos diario'!$B:$B,$A143-WEEKDAY($A143,3))/(SUMIFS('Datos diario'!$F:$F,'Datos diario'!$C:$C,$C143,'Datos diario'!$B:$B,$A143-WEEKDAY($A143,3))+SUMIFS('Datos diario'!$G:$G,'Datos diario'!$C:$C,$C143,'Datos diario'!$B:$B,$A143-WEEKDAY($A143,3))),""))</f>
        <v/>
      </c>
      <c r="S143" s="31">
        <f>IF(OR($A143="",$C143=""),"",SUMIFS('Datos diario'!$I:$I,'Datos diario'!$C:$C,$C143,'Datos diario'!$B:$B,$A143-WEEKDAY($A143,3)))</f>
        <v/>
      </c>
      <c r="T143" s="31">
        <f>IF(OR($A143="",$C143=""),"",SUMIFS('Datos diario'!$P:$P,'Datos diario'!$C:$C,$C143,'Datos diario'!$B:$B,$A143-WEEKDAY($A143,3)))</f>
        <v/>
      </c>
      <c r="U143" s="31">
        <f>IF(OR($A143="",$C143=""),"",ROUND(SUMIFS('Datos diario'!$U:$U,'Datos diario'!$C:$C,$C143,'Datos diario'!$B:$B,$A143-WEEKDAY($A143,3)),0))</f>
        <v/>
      </c>
      <c r="V143" s="30">
        <f>IF(OR($A143="",$C143=""),"",IFERROR(ROUND(AVERAGEIFS('Datos diario'!$M:$M,'Datos diario'!$C:$C,$C143,'Datos diario'!$B:$B,$A143-WEEKDAY($A143,3),'Datos diario'!$L:$L,"&gt;0"),1),""))</f>
        <v/>
      </c>
    </row>
    <row r="144">
      <c r="A144" s="26" t="n"/>
      <c r="B144" s="22" t="n"/>
      <c r="C144" s="23">
        <f>IF(B144="","",IFERROR(INDEX(Perfil!$B$6:$B$17,MATCH(B144,Perfil!$A$6:$A$17,0)),""))</f>
        <v/>
      </c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30">
        <f>IF(COUNT(D144:K144)=0,"",AVERAGE(D144:K144))</f>
        <v/>
      </c>
      <c r="M144" s="22" t="n"/>
      <c r="N144" s="22" t="n"/>
      <c r="O144" s="22" t="n"/>
      <c r="P144" s="22" t="n"/>
      <c r="Q144" s="31">
        <f>IF(OR($A144="",$C144=""),"",SUMIFS('Datos diario'!$E:$E,'Datos diario'!$C:$C,$C144,'Datos diario'!$B:$B,$A144-WEEKDAY($A144,3)))</f>
        <v/>
      </c>
      <c r="R144" s="32">
        <f>IF(OR($A144="",$C144=""),"",IFERROR(SUMIFS('Datos diario'!$F:$F,'Datos diario'!$C:$C,$C144,'Datos diario'!$B:$B,$A144-WEEKDAY($A144,3))/(SUMIFS('Datos diario'!$F:$F,'Datos diario'!$C:$C,$C144,'Datos diario'!$B:$B,$A144-WEEKDAY($A144,3))+SUMIFS('Datos diario'!$G:$G,'Datos diario'!$C:$C,$C144,'Datos diario'!$B:$B,$A144-WEEKDAY($A144,3))),""))</f>
        <v/>
      </c>
      <c r="S144" s="31">
        <f>IF(OR($A144="",$C144=""),"",SUMIFS('Datos diario'!$I:$I,'Datos diario'!$C:$C,$C144,'Datos diario'!$B:$B,$A144-WEEKDAY($A144,3)))</f>
        <v/>
      </c>
      <c r="T144" s="31">
        <f>IF(OR($A144="",$C144=""),"",SUMIFS('Datos diario'!$P:$P,'Datos diario'!$C:$C,$C144,'Datos diario'!$B:$B,$A144-WEEKDAY($A144,3)))</f>
        <v/>
      </c>
      <c r="U144" s="31">
        <f>IF(OR($A144="",$C144=""),"",ROUND(SUMIFS('Datos diario'!$U:$U,'Datos diario'!$C:$C,$C144,'Datos diario'!$B:$B,$A144-WEEKDAY($A144,3)),0))</f>
        <v/>
      </c>
      <c r="V144" s="30">
        <f>IF(OR($A144="",$C144=""),"",IFERROR(ROUND(AVERAGEIFS('Datos diario'!$M:$M,'Datos diario'!$C:$C,$C144,'Datos diario'!$B:$B,$A144-WEEKDAY($A144,3),'Datos diario'!$L:$L,"&gt;0"),1),""))</f>
        <v/>
      </c>
    </row>
    <row r="145">
      <c r="A145" s="26" t="n"/>
      <c r="B145" s="22" t="n"/>
      <c r="C145" s="23">
        <f>IF(B145="","",IFERROR(INDEX(Perfil!$B$6:$B$17,MATCH(B145,Perfil!$A$6:$A$17,0)),""))</f>
        <v/>
      </c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30">
        <f>IF(COUNT(D145:K145)=0,"",AVERAGE(D145:K145))</f>
        <v/>
      </c>
      <c r="M145" s="22" t="n"/>
      <c r="N145" s="22" t="n"/>
      <c r="O145" s="22" t="n"/>
      <c r="P145" s="22" t="n"/>
      <c r="Q145" s="31">
        <f>IF(OR($A145="",$C145=""),"",SUMIFS('Datos diario'!$E:$E,'Datos diario'!$C:$C,$C145,'Datos diario'!$B:$B,$A145-WEEKDAY($A145,3)))</f>
        <v/>
      </c>
      <c r="R145" s="32">
        <f>IF(OR($A145="",$C145=""),"",IFERROR(SUMIFS('Datos diario'!$F:$F,'Datos diario'!$C:$C,$C145,'Datos diario'!$B:$B,$A145-WEEKDAY($A145,3))/(SUMIFS('Datos diario'!$F:$F,'Datos diario'!$C:$C,$C145,'Datos diario'!$B:$B,$A145-WEEKDAY($A145,3))+SUMIFS('Datos diario'!$G:$G,'Datos diario'!$C:$C,$C145,'Datos diario'!$B:$B,$A145-WEEKDAY($A145,3))),""))</f>
        <v/>
      </c>
      <c r="S145" s="31">
        <f>IF(OR($A145="",$C145=""),"",SUMIFS('Datos diario'!$I:$I,'Datos diario'!$C:$C,$C145,'Datos diario'!$B:$B,$A145-WEEKDAY($A145,3)))</f>
        <v/>
      </c>
      <c r="T145" s="31">
        <f>IF(OR($A145="",$C145=""),"",SUMIFS('Datos diario'!$P:$P,'Datos diario'!$C:$C,$C145,'Datos diario'!$B:$B,$A145-WEEKDAY($A145,3)))</f>
        <v/>
      </c>
      <c r="U145" s="31">
        <f>IF(OR($A145="",$C145=""),"",ROUND(SUMIFS('Datos diario'!$U:$U,'Datos diario'!$C:$C,$C145,'Datos diario'!$B:$B,$A145-WEEKDAY($A145,3)),0))</f>
        <v/>
      </c>
      <c r="V145" s="30">
        <f>IF(OR($A145="",$C145=""),"",IFERROR(ROUND(AVERAGEIFS('Datos diario'!$M:$M,'Datos diario'!$C:$C,$C145,'Datos diario'!$B:$B,$A145-WEEKDAY($A145,3),'Datos diario'!$L:$L,"&gt;0"),1),""))</f>
        <v/>
      </c>
    </row>
    <row r="146">
      <c r="A146" s="26" t="n"/>
      <c r="B146" s="22" t="n"/>
      <c r="C146" s="23">
        <f>IF(B146="","",IFERROR(INDEX(Perfil!$B$6:$B$17,MATCH(B146,Perfil!$A$6:$A$17,0)),""))</f>
        <v/>
      </c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30">
        <f>IF(COUNT(D146:K146)=0,"",AVERAGE(D146:K146))</f>
        <v/>
      </c>
      <c r="M146" s="22" t="n"/>
      <c r="N146" s="22" t="n"/>
      <c r="O146" s="22" t="n"/>
      <c r="P146" s="22" t="n"/>
      <c r="Q146" s="31">
        <f>IF(OR($A146="",$C146=""),"",SUMIFS('Datos diario'!$E:$E,'Datos diario'!$C:$C,$C146,'Datos diario'!$B:$B,$A146-WEEKDAY($A146,3)))</f>
        <v/>
      </c>
      <c r="R146" s="32">
        <f>IF(OR($A146="",$C146=""),"",IFERROR(SUMIFS('Datos diario'!$F:$F,'Datos diario'!$C:$C,$C146,'Datos diario'!$B:$B,$A146-WEEKDAY($A146,3))/(SUMIFS('Datos diario'!$F:$F,'Datos diario'!$C:$C,$C146,'Datos diario'!$B:$B,$A146-WEEKDAY($A146,3))+SUMIFS('Datos diario'!$G:$G,'Datos diario'!$C:$C,$C146,'Datos diario'!$B:$B,$A146-WEEKDAY($A146,3))),""))</f>
        <v/>
      </c>
      <c r="S146" s="31">
        <f>IF(OR($A146="",$C146=""),"",SUMIFS('Datos diario'!$I:$I,'Datos diario'!$C:$C,$C146,'Datos diario'!$B:$B,$A146-WEEKDAY($A146,3)))</f>
        <v/>
      </c>
      <c r="T146" s="31">
        <f>IF(OR($A146="",$C146=""),"",SUMIFS('Datos diario'!$P:$P,'Datos diario'!$C:$C,$C146,'Datos diario'!$B:$B,$A146-WEEKDAY($A146,3)))</f>
        <v/>
      </c>
      <c r="U146" s="31">
        <f>IF(OR($A146="",$C146=""),"",ROUND(SUMIFS('Datos diario'!$U:$U,'Datos diario'!$C:$C,$C146,'Datos diario'!$B:$B,$A146-WEEKDAY($A146,3)),0))</f>
        <v/>
      </c>
      <c r="V146" s="30">
        <f>IF(OR($A146="",$C146=""),"",IFERROR(ROUND(AVERAGEIFS('Datos diario'!$M:$M,'Datos diario'!$C:$C,$C146,'Datos diario'!$B:$B,$A146-WEEKDAY($A146,3),'Datos diario'!$L:$L,"&gt;0"),1),""))</f>
        <v/>
      </c>
    </row>
    <row r="147">
      <c r="A147" s="26" t="n"/>
      <c r="B147" s="22" t="n"/>
      <c r="C147" s="23">
        <f>IF(B147="","",IFERROR(INDEX(Perfil!$B$6:$B$17,MATCH(B147,Perfil!$A$6:$A$17,0)),""))</f>
        <v/>
      </c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30">
        <f>IF(COUNT(D147:K147)=0,"",AVERAGE(D147:K147))</f>
        <v/>
      </c>
      <c r="M147" s="22" t="n"/>
      <c r="N147" s="22" t="n"/>
      <c r="O147" s="22" t="n"/>
      <c r="P147" s="22" t="n"/>
      <c r="Q147" s="31">
        <f>IF(OR($A147="",$C147=""),"",SUMIFS('Datos diario'!$E:$E,'Datos diario'!$C:$C,$C147,'Datos diario'!$B:$B,$A147-WEEKDAY($A147,3)))</f>
        <v/>
      </c>
      <c r="R147" s="32">
        <f>IF(OR($A147="",$C147=""),"",IFERROR(SUMIFS('Datos diario'!$F:$F,'Datos diario'!$C:$C,$C147,'Datos diario'!$B:$B,$A147-WEEKDAY($A147,3))/(SUMIFS('Datos diario'!$F:$F,'Datos diario'!$C:$C,$C147,'Datos diario'!$B:$B,$A147-WEEKDAY($A147,3))+SUMIFS('Datos diario'!$G:$G,'Datos diario'!$C:$C,$C147,'Datos diario'!$B:$B,$A147-WEEKDAY($A147,3))),""))</f>
        <v/>
      </c>
      <c r="S147" s="31">
        <f>IF(OR($A147="",$C147=""),"",SUMIFS('Datos diario'!$I:$I,'Datos diario'!$C:$C,$C147,'Datos diario'!$B:$B,$A147-WEEKDAY($A147,3)))</f>
        <v/>
      </c>
      <c r="T147" s="31">
        <f>IF(OR($A147="",$C147=""),"",SUMIFS('Datos diario'!$P:$P,'Datos diario'!$C:$C,$C147,'Datos diario'!$B:$B,$A147-WEEKDAY($A147,3)))</f>
        <v/>
      </c>
      <c r="U147" s="31">
        <f>IF(OR($A147="",$C147=""),"",ROUND(SUMIFS('Datos diario'!$U:$U,'Datos diario'!$C:$C,$C147,'Datos diario'!$B:$B,$A147-WEEKDAY($A147,3)),0))</f>
        <v/>
      </c>
      <c r="V147" s="30">
        <f>IF(OR($A147="",$C147=""),"",IFERROR(ROUND(AVERAGEIFS('Datos diario'!$M:$M,'Datos diario'!$C:$C,$C147,'Datos diario'!$B:$B,$A147-WEEKDAY($A147,3),'Datos diario'!$L:$L,"&gt;0"),1),""))</f>
        <v/>
      </c>
    </row>
    <row r="148">
      <c r="A148" s="26" t="n"/>
      <c r="B148" s="22" t="n"/>
      <c r="C148" s="23">
        <f>IF(B148="","",IFERROR(INDEX(Perfil!$B$6:$B$17,MATCH(B148,Perfil!$A$6:$A$17,0)),""))</f>
        <v/>
      </c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30">
        <f>IF(COUNT(D148:K148)=0,"",AVERAGE(D148:K148))</f>
        <v/>
      </c>
      <c r="M148" s="22" t="n"/>
      <c r="N148" s="22" t="n"/>
      <c r="O148" s="22" t="n"/>
      <c r="P148" s="22" t="n"/>
      <c r="Q148" s="31">
        <f>IF(OR($A148="",$C148=""),"",SUMIFS('Datos diario'!$E:$E,'Datos diario'!$C:$C,$C148,'Datos diario'!$B:$B,$A148-WEEKDAY($A148,3)))</f>
        <v/>
      </c>
      <c r="R148" s="32">
        <f>IF(OR($A148="",$C148=""),"",IFERROR(SUMIFS('Datos diario'!$F:$F,'Datos diario'!$C:$C,$C148,'Datos diario'!$B:$B,$A148-WEEKDAY($A148,3))/(SUMIFS('Datos diario'!$F:$F,'Datos diario'!$C:$C,$C148,'Datos diario'!$B:$B,$A148-WEEKDAY($A148,3))+SUMIFS('Datos diario'!$G:$G,'Datos diario'!$C:$C,$C148,'Datos diario'!$B:$B,$A148-WEEKDAY($A148,3))),""))</f>
        <v/>
      </c>
      <c r="S148" s="31">
        <f>IF(OR($A148="",$C148=""),"",SUMIFS('Datos diario'!$I:$I,'Datos diario'!$C:$C,$C148,'Datos diario'!$B:$B,$A148-WEEKDAY($A148,3)))</f>
        <v/>
      </c>
      <c r="T148" s="31">
        <f>IF(OR($A148="",$C148=""),"",SUMIFS('Datos diario'!$P:$P,'Datos diario'!$C:$C,$C148,'Datos diario'!$B:$B,$A148-WEEKDAY($A148,3)))</f>
        <v/>
      </c>
      <c r="U148" s="31">
        <f>IF(OR($A148="",$C148=""),"",ROUND(SUMIFS('Datos diario'!$U:$U,'Datos diario'!$C:$C,$C148,'Datos diario'!$B:$B,$A148-WEEKDAY($A148,3)),0))</f>
        <v/>
      </c>
      <c r="V148" s="30">
        <f>IF(OR($A148="",$C148=""),"",IFERROR(ROUND(AVERAGEIFS('Datos diario'!$M:$M,'Datos diario'!$C:$C,$C148,'Datos diario'!$B:$B,$A148-WEEKDAY($A148,3),'Datos diario'!$L:$L,"&gt;0"),1),""))</f>
        <v/>
      </c>
    </row>
    <row r="149">
      <c r="A149" s="26" t="n"/>
      <c r="B149" s="22" t="n"/>
      <c r="C149" s="23">
        <f>IF(B149="","",IFERROR(INDEX(Perfil!$B$6:$B$17,MATCH(B149,Perfil!$A$6:$A$17,0)),""))</f>
        <v/>
      </c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30">
        <f>IF(COUNT(D149:K149)=0,"",AVERAGE(D149:K149))</f>
        <v/>
      </c>
      <c r="M149" s="22" t="n"/>
      <c r="N149" s="22" t="n"/>
      <c r="O149" s="22" t="n"/>
      <c r="P149" s="22" t="n"/>
      <c r="Q149" s="31">
        <f>IF(OR($A149="",$C149=""),"",SUMIFS('Datos diario'!$E:$E,'Datos diario'!$C:$C,$C149,'Datos diario'!$B:$B,$A149-WEEKDAY($A149,3)))</f>
        <v/>
      </c>
      <c r="R149" s="32">
        <f>IF(OR($A149="",$C149=""),"",IFERROR(SUMIFS('Datos diario'!$F:$F,'Datos diario'!$C:$C,$C149,'Datos diario'!$B:$B,$A149-WEEKDAY($A149,3))/(SUMIFS('Datos diario'!$F:$F,'Datos diario'!$C:$C,$C149,'Datos diario'!$B:$B,$A149-WEEKDAY($A149,3))+SUMIFS('Datos diario'!$G:$G,'Datos diario'!$C:$C,$C149,'Datos diario'!$B:$B,$A149-WEEKDAY($A149,3))),""))</f>
        <v/>
      </c>
      <c r="S149" s="31">
        <f>IF(OR($A149="",$C149=""),"",SUMIFS('Datos diario'!$I:$I,'Datos diario'!$C:$C,$C149,'Datos diario'!$B:$B,$A149-WEEKDAY($A149,3)))</f>
        <v/>
      </c>
      <c r="T149" s="31">
        <f>IF(OR($A149="",$C149=""),"",SUMIFS('Datos diario'!$P:$P,'Datos diario'!$C:$C,$C149,'Datos diario'!$B:$B,$A149-WEEKDAY($A149,3)))</f>
        <v/>
      </c>
      <c r="U149" s="31">
        <f>IF(OR($A149="",$C149=""),"",ROUND(SUMIFS('Datos diario'!$U:$U,'Datos diario'!$C:$C,$C149,'Datos diario'!$B:$B,$A149-WEEKDAY($A149,3)),0))</f>
        <v/>
      </c>
      <c r="V149" s="30">
        <f>IF(OR($A149="",$C149=""),"",IFERROR(ROUND(AVERAGEIFS('Datos diario'!$M:$M,'Datos diario'!$C:$C,$C149,'Datos diario'!$B:$B,$A149-WEEKDAY($A149,3),'Datos diario'!$L:$L,"&gt;0"),1),""))</f>
        <v/>
      </c>
    </row>
    <row r="150">
      <c r="A150" s="26" t="n"/>
      <c r="B150" s="22" t="n"/>
      <c r="C150" s="23">
        <f>IF(B150="","",IFERROR(INDEX(Perfil!$B$6:$B$17,MATCH(B150,Perfil!$A$6:$A$17,0)),""))</f>
        <v/>
      </c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30">
        <f>IF(COUNT(D150:K150)=0,"",AVERAGE(D150:K150))</f>
        <v/>
      </c>
      <c r="M150" s="22" t="n"/>
      <c r="N150" s="22" t="n"/>
      <c r="O150" s="22" t="n"/>
      <c r="P150" s="22" t="n"/>
      <c r="Q150" s="31">
        <f>IF(OR($A150="",$C150=""),"",SUMIFS('Datos diario'!$E:$E,'Datos diario'!$C:$C,$C150,'Datos diario'!$B:$B,$A150-WEEKDAY($A150,3)))</f>
        <v/>
      </c>
      <c r="R150" s="32">
        <f>IF(OR($A150="",$C150=""),"",IFERROR(SUMIFS('Datos diario'!$F:$F,'Datos diario'!$C:$C,$C150,'Datos diario'!$B:$B,$A150-WEEKDAY($A150,3))/(SUMIFS('Datos diario'!$F:$F,'Datos diario'!$C:$C,$C150,'Datos diario'!$B:$B,$A150-WEEKDAY($A150,3))+SUMIFS('Datos diario'!$G:$G,'Datos diario'!$C:$C,$C150,'Datos diario'!$B:$B,$A150-WEEKDAY($A150,3))),""))</f>
        <v/>
      </c>
      <c r="S150" s="31">
        <f>IF(OR($A150="",$C150=""),"",SUMIFS('Datos diario'!$I:$I,'Datos diario'!$C:$C,$C150,'Datos diario'!$B:$B,$A150-WEEKDAY($A150,3)))</f>
        <v/>
      </c>
      <c r="T150" s="31">
        <f>IF(OR($A150="",$C150=""),"",SUMIFS('Datos diario'!$P:$P,'Datos diario'!$C:$C,$C150,'Datos diario'!$B:$B,$A150-WEEKDAY($A150,3)))</f>
        <v/>
      </c>
      <c r="U150" s="31">
        <f>IF(OR($A150="",$C150=""),"",ROUND(SUMIFS('Datos diario'!$U:$U,'Datos diario'!$C:$C,$C150,'Datos diario'!$B:$B,$A150-WEEKDAY($A150,3)),0))</f>
        <v/>
      </c>
      <c r="V150" s="30">
        <f>IF(OR($A150="",$C150=""),"",IFERROR(ROUND(AVERAGEIFS('Datos diario'!$M:$M,'Datos diario'!$C:$C,$C150,'Datos diario'!$B:$B,$A150-WEEKDAY($A150,3),'Datos diario'!$L:$L,"&gt;0"),1),""))</f>
        <v/>
      </c>
    </row>
    <row r="151">
      <c r="A151" s="26" t="n"/>
      <c r="B151" s="22" t="n"/>
      <c r="C151" s="23">
        <f>IF(B151="","",IFERROR(INDEX(Perfil!$B$6:$B$17,MATCH(B151,Perfil!$A$6:$A$17,0)),""))</f>
        <v/>
      </c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30">
        <f>IF(COUNT(D151:K151)=0,"",AVERAGE(D151:K151))</f>
        <v/>
      </c>
      <c r="M151" s="22" t="n"/>
      <c r="N151" s="22" t="n"/>
      <c r="O151" s="22" t="n"/>
      <c r="P151" s="22" t="n"/>
      <c r="Q151" s="31">
        <f>IF(OR($A151="",$C151=""),"",SUMIFS('Datos diario'!$E:$E,'Datos diario'!$C:$C,$C151,'Datos diario'!$B:$B,$A151-WEEKDAY($A151,3)))</f>
        <v/>
      </c>
      <c r="R151" s="32">
        <f>IF(OR($A151="",$C151=""),"",IFERROR(SUMIFS('Datos diario'!$F:$F,'Datos diario'!$C:$C,$C151,'Datos diario'!$B:$B,$A151-WEEKDAY($A151,3))/(SUMIFS('Datos diario'!$F:$F,'Datos diario'!$C:$C,$C151,'Datos diario'!$B:$B,$A151-WEEKDAY($A151,3))+SUMIFS('Datos diario'!$G:$G,'Datos diario'!$C:$C,$C151,'Datos diario'!$B:$B,$A151-WEEKDAY($A151,3))),""))</f>
        <v/>
      </c>
      <c r="S151" s="31">
        <f>IF(OR($A151="",$C151=""),"",SUMIFS('Datos diario'!$I:$I,'Datos diario'!$C:$C,$C151,'Datos diario'!$B:$B,$A151-WEEKDAY($A151,3)))</f>
        <v/>
      </c>
      <c r="T151" s="31">
        <f>IF(OR($A151="",$C151=""),"",SUMIFS('Datos diario'!$P:$P,'Datos diario'!$C:$C,$C151,'Datos diario'!$B:$B,$A151-WEEKDAY($A151,3)))</f>
        <v/>
      </c>
      <c r="U151" s="31">
        <f>IF(OR($A151="",$C151=""),"",ROUND(SUMIFS('Datos diario'!$U:$U,'Datos diario'!$C:$C,$C151,'Datos diario'!$B:$B,$A151-WEEKDAY($A151,3)),0))</f>
        <v/>
      </c>
      <c r="V151" s="30">
        <f>IF(OR($A151="",$C151=""),"",IFERROR(ROUND(AVERAGEIFS('Datos diario'!$M:$M,'Datos diario'!$C:$C,$C151,'Datos diario'!$B:$B,$A151-WEEKDAY($A151,3),'Datos diario'!$L:$L,"&gt;0"),1),""))</f>
        <v/>
      </c>
    </row>
    <row r="152">
      <c r="A152" s="26" t="n"/>
      <c r="B152" s="22" t="n"/>
      <c r="C152" s="23">
        <f>IF(B152="","",IFERROR(INDEX(Perfil!$B$6:$B$17,MATCH(B152,Perfil!$A$6:$A$17,0)),""))</f>
        <v/>
      </c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30">
        <f>IF(COUNT(D152:K152)=0,"",AVERAGE(D152:K152))</f>
        <v/>
      </c>
      <c r="M152" s="22" t="n"/>
      <c r="N152" s="22" t="n"/>
      <c r="O152" s="22" t="n"/>
      <c r="P152" s="22" t="n"/>
      <c r="Q152" s="31">
        <f>IF(OR($A152="",$C152=""),"",SUMIFS('Datos diario'!$E:$E,'Datos diario'!$C:$C,$C152,'Datos diario'!$B:$B,$A152-WEEKDAY($A152,3)))</f>
        <v/>
      </c>
      <c r="R152" s="32">
        <f>IF(OR($A152="",$C152=""),"",IFERROR(SUMIFS('Datos diario'!$F:$F,'Datos diario'!$C:$C,$C152,'Datos diario'!$B:$B,$A152-WEEKDAY($A152,3))/(SUMIFS('Datos diario'!$F:$F,'Datos diario'!$C:$C,$C152,'Datos diario'!$B:$B,$A152-WEEKDAY($A152,3))+SUMIFS('Datos diario'!$G:$G,'Datos diario'!$C:$C,$C152,'Datos diario'!$B:$B,$A152-WEEKDAY($A152,3))),""))</f>
        <v/>
      </c>
      <c r="S152" s="31">
        <f>IF(OR($A152="",$C152=""),"",SUMIFS('Datos diario'!$I:$I,'Datos diario'!$C:$C,$C152,'Datos diario'!$B:$B,$A152-WEEKDAY($A152,3)))</f>
        <v/>
      </c>
      <c r="T152" s="31">
        <f>IF(OR($A152="",$C152=""),"",SUMIFS('Datos diario'!$P:$P,'Datos diario'!$C:$C,$C152,'Datos diario'!$B:$B,$A152-WEEKDAY($A152,3)))</f>
        <v/>
      </c>
      <c r="U152" s="31">
        <f>IF(OR($A152="",$C152=""),"",ROUND(SUMIFS('Datos diario'!$U:$U,'Datos diario'!$C:$C,$C152,'Datos diario'!$B:$B,$A152-WEEKDAY($A152,3)),0))</f>
        <v/>
      </c>
      <c r="V152" s="30">
        <f>IF(OR($A152="",$C152=""),"",IFERROR(ROUND(AVERAGEIFS('Datos diario'!$M:$M,'Datos diario'!$C:$C,$C152,'Datos diario'!$B:$B,$A152-WEEKDAY($A152,3),'Datos diario'!$L:$L,"&gt;0"),1),""))</f>
        <v/>
      </c>
    </row>
    <row r="153">
      <c r="A153" s="26" t="n"/>
      <c r="B153" s="22" t="n"/>
      <c r="C153" s="23">
        <f>IF(B153="","",IFERROR(INDEX(Perfil!$B$6:$B$17,MATCH(B153,Perfil!$A$6:$A$17,0)),""))</f>
        <v/>
      </c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30">
        <f>IF(COUNT(D153:K153)=0,"",AVERAGE(D153:K153))</f>
        <v/>
      </c>
      <c r="M153" s="22" t="n"/>
      <c r="N153" s="22" t="n"/>
      <c r="O153" s="22" t="n"/>
      <c r="P153" s="22" t="n"/>
      <c r="Q153" s="31">
        <f>IF(OR($A153="",$C153=""),"",SUMIFS('Datos diario'!$E:$E,'Datos diario'!$C:$C,$C153,'Datos diario'!$B:$B,$A153-WEEKDAY($A153,3)))</f>
        <v/>
      </c>
      <c r="R153" s="32">
        <f>IF(OR($A153="",$C153=""),"",IFERROR(SUMIFS('Datos diario'!$F:$F,'Datos diario'!$C:$C,$C153,'Datos diario'!$B:$B,$A153-WEEKDAY($A153,3))/(SUMIFS('Datos diario'!$F:$F,'Datos diario'!$C:$C,$C153,'Datos diario'!$B:$B,$A153-WEEKDAY($A153,3))+SUMIFS('Datos diario'!$G:$G,'Datos diario'!$C:$C,$C153,'Datos diario'!$B:$B,$A153-WEEKDAY($A153,3))),""))</f>
        <v/>
      </c>
      <c r="S153" s="31">
        <f>IF(OR($A153="",$C153=""),"",SUMIFS('Datos diario'!$I:$I,'Datos diario'!$C:$C,$C153,'Datos diario'!$B:$B,$A153-WEEKDAY($A153,3)))</f>
        <v/>
      </c>
      <c r="T153" s="31">
        <f>IF(OR($A153="",$C153=""),"",SUMIFS('Datos diario'!$P:$P,'Datos diario'!$C:$C,$C153,'Datos diario'!$B:$B,$A153-WEEKDAY($A153,3)))</f>
        <v/>
      </c>
      <c r="U153" s="31">
        <f>IF(OR($A153="",$C153=""),"",ROUND(SUMIFS('Datos diario'!$U:$U,'Datos diario'!$C:$C,$C153,'Datos diario'!$B:$B,$A153-WEEKDAY($A153,3)),0))</f>
        <v/>
      </c>
      <c r="V153" s="30">
        <f>IF(OR($A153="",$C153=""),"",IFERROR(ROUND(AVERAGEIFS('Datos diario'!$M:$M,'Datos diario'!$C:$C,$C153,'Datos diario'!$B:$B,$A153-WEEKDAY($A153,3),'Datos diario'!$L:$L,"&gt;0"),1),""))</f>
        <v/>
      </c>
    </row>
    <row r="154">
      <c r="A154" s="26" t="n"/>
      <c r="B154" s="22" t="n"/>
      <c r="C154" s="23">
        <f>IF(B154="","",IFERROR(INDEX(Perfil!$B$6:$B$17,MATCH(B154,Perfil!$A$6:$A$17,0)),""))</f>
        <v/>
      </c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30">
        <f>IF(COUNT(D154:K154)=0,"",AVERAGE(D154:K154))</f>
        <v/>
      </c>
      <c r="M154" s="22" t="n"/>
      <c r="N154" s="22" t="n"/>
      <c r="O154" s="22" t="n"/>
      <c r="P154" s="22" t="n"/>
      <c r="Q154" s="31">
        <f>IF(OR($A154="",$C154=""),"",SUMIFS('Datos diario'!$E:$E,'Datos diario'!$C:$C,$C154,'Datos diario'!$B:$B,$A154-WEEKDAY($A154,3)))</f>
        <v/>
      </c>
      <c r="R154" s="32">
        <f>IF(OR($A154="",$C154=""),"",IFERROR(SUMIFS('Datos diario'!$F:$F,'Datos diario'!$C:$C,$C154,'Datos diario'!$B:$B,$A154-WEEKDAY($A154,3))/(SUMIFS('Datos diario'!$F:$F,'Datos diario'!$C:$C,$C154,'Datos diario'!$B:$B,$A154-WEEKDAY($A154,3))+SUMIFS('Datos diario'!$G:$G,'Datos diario'!$C:$C,$C154,'Datos diario'!$B:$B,$A154-WEEKDAY($A154,3))),""))</f>
        <v/>
      </c>
      <c r="S154" s="31">
        <f>IF(OR($A154="",$C154=""),"",SUMIFS('Datos diario'!$I:$I,'Datos diario'!$C:$C,$C154,'Datos diario'!$B:$B,$A154-WEEKDAY($A154,3)))</f>
        <v/>
      </c>
      <c r="T154" s="31">
        <f>IF(OR($A154="",$C154=""),"",SUMIFS('Datos diario'!$P:$P,'Datos diario'!$C:$C,$C154,'Datos diario'!$B:$B,$A154-WEEKDAY($A154,3)))</f>
        <v/>
      </c>
      <c r="U154" s="31">
        <f>IF(OR($A154="",$C154=""),"",ROUND(SUMIFS('Datos diario'!$U:$U,'Datos diario'!$C:$C,$C154,'Datos diario'!$B:$B,$A154-WEEKDAY($A154,3)),0))</f>
        <v/>
      </c>
      <c r="V154" s="30">
        <f>IF(OR($A154="",$C154=""),"",IFERROR(ROUND(AVERAGEIFS('Datos diario'!$M:$M,'Datos diario'!$C:$C,$C154,'Datos diario'!$B:$B,$A154-WEEKDAY($A154,3),'Datos diario'!$L:$L,"&gt;0"),1),""))</f>
        <v/>
      </c>
    </row>
    <row r="155">
      <c r="A155" s="26" t="n"/>
      <c r="B155" s="22" t="n"/>
      <c r="C155" s="23">
        <f>IF(B155="","",IFERROR(INDEX(Perfil!$B$6:$B$17,MATCH(B155,Perfil!$A$6:$A$17,0)),""))</f>
        <v/>
      </c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30">
        <f>IF(COUNT(D155:K155)=0,"",AVERAGE(D155:K155))</f>
        <v/>
      </c>
      <c r="M155" s="22" t="n"/>
      <c r="N155" s="22" t="n"/>
      <c r="O155" s="22" t="n"/>
      <c r="P155" s="22" t="n"/>
      <c r="Q155" s="31">
        <f>IF(OR($A155="",$C155=""),"",SUMIFS('Datos diario'!$E:$E,'Datos diario'!$C:$C,$C155,'Datos diario'!$B:$B,$A155-WEEKDAY($A155,3)))</f>
        <v/>
      </c>
      <c r="R155" s="32">
        <f>IF(OR($A155="",$C155=""),"",IFERROR(SUMIFS('Datos diario'!$F:$F,'Datos diario'!$C:$C,$C155,'Datos diario'!$B:$B,$A155-WEEKDAY($A155,3))/(SUMIFS('Datos diario'!$F:$F,'Datos diario'!$C:$C,$C155,'Datos diario'!$B:$B,$A155-WEEKDAY($A155,3))+SUMIFS('Datos diario'!$G:$G,'Datos diario'!$C:$C,$C155,'Datos diario'!$B:$B,$A155-WEEKDAY($A155,3))),""))</f>
        <v/>
      </c>
      <c r="S155" s="31">
        <f>IF(OR($A155="",$C155=""),"",SUMIFS('Datos diario'!$I:$I,'Datos diario'!$C:$C,$C155,'Datos diario'!$B:$B,$A155-WEEKDAY($A155,3)))</f>
        <v/>
      </c>
      <c r="T155" s="31">
        <f>IF(OR($A155="",$C155=""),"",SUMIFS('Datos diario'!$P:$P,'Datos diario'!$C:$C,$C155,'Datos diario'!$B:$B,$A155-WEEKDAY($A155,3)))</f>
        <v/>
      </c>
      <c r="U155" s="31">
        <f>IF(OR($A155="",$C155=""),"",ROUND(SUMIFS('Datos diario'!$U:$U,'Datos diario'!$C:$C,$C155,'Datos diario'!$B:$B,$A155-WEEKDAY($A155,3)),0))</f>
        <v/>
      </c>
      <c r="V155" s="30">
        <f>IF(OR($A155="",$C155=""),"",IFERROR(ROUND(AVERAGEIFS('Datos diario'!$M:$M,'Datos diario'!$C:$C,$C155,'Datos diario'!$B:$B,$A155-WEEKDAY($A155,3),'Datos diario'!$L:$L,"&gt;0"),1),""))</f>
        <v/>
      </c>
    </row>
    <row r="156">
      <c r="A156" s="26" t="n"/>
      <c r="B156" s="22" t="n"/>
      <c r="C156" s="23">
        <f>IF(B156="","",IFERROR(INDEX(Perfil!$B$6:$B$17,MATCH(B156,Perfil!$A$6:$A$17,0)),""))</f>
        <v/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30">
        <f>IF(COUNT(D156:K156)=0,"",AVERAGE(D156:K156))</f>
        <v/>
      </c>
      <c r="M156" s="22" t="n"/>
      <c r="N156" s="22" t="n"/>
      <c r="O156" s="22" t="n"/>
      <c r="P156" s="22" t="n"/>
      <c r="Q156" s="31">
        <f>IF(OR($A156="",$C156=""),"",SUMIFS('Datos diario'!$E:$E,'Datos diario'!$C:$C,$C156,'Datos diario'!$B:$B,$A156-WEEKDAY($A156,3)))</f>
        <v/>
      </c>
      <c r="R156" s="32">
        <f>IF(OR($A156="",$C156=""),"",IFERROR(SUMIFS('Datos diario'!$F:$F,'Datos diario'!$C:$C,$C156,'Datos diario'!$B:$B,$A156-WEEKDAY($A156,3))/(SUMIFS('Datos diario'!$F:$F,'Datos diario'!$C:$C,$C156,'Datos diario'!$B:$B,$A156-WEEKDAY($A156,3))+SUMIFS('Datos diario'!$G:$G,'Datos diario'!$C:$C,$C156,'Datos diario'!$B:$B,$A156-WEEKDAY($A156,3))),""))</f>
        <v/>
      </c>
      <c r="S156" s="31">
        <f>IF(OR($A156="",$C156=""),"",SUMIFS('Datos diario'!$I:$I,'Datos diario'!$C:$C,$C156,'Datos diario'!$B:$B,$A156-WEEKDAY($A156,3)))</f>
        <v/>
      </c>
      <c r="T156" s="31">
        <f>IF(OR($A156="",$C156=""),"",SUMIFS('Datos diario'!$P:$P,'Datos diario'!$C:$C,$C156,'Datos diario'!$B:$B,$A156-WEEKDAY($A156,3)))</f>
        <v/>
      </c>
      <c r="U156" s="31">
        <f>IF(OR($A156="",$C156=""),"",ROUND(SUMIFS('Datos diario'!$U:$U,'Datos diario'!$C:$C,$C156,'Datos diario'!$B:$B,$A156-WEEKDAY($A156,3)),0))</f>
        <v/>
      </c>
      <c r="V156" s="30">
        <f>IF(OR($A156="",$C156=""),"",IFERROR(ROUND(AVERAGEIFS('Datos diario'!$M:$M,'Datos diario'!$C:$C,$C156,'Datos diario'!$B:$B,$A156-WEEKDAY($A156,3),'Datos diario'!$L:$L,"&gt;0"),1),""))</f>
        <v/>
      </c>
    </row>
    <row r="157">
      <c r="A157" s="26" t="n"/>
      <c r="B157" s="22" t="n"/>
      <c r="C157" s="23">
        <f>IF(B157="","",IFERROR(INDEX(Perfil!$B$6:$B$17,MATCH(B157,Perfil!$A$6:$A$17,0)),""))</f>
        <v/>
      </c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30">
        <f>IF(COUNT(D157:K157)=0,"",AVERAGE(D157:K157))</f>
        <v/>
      </c>
      <c r="M157" s="22" t="n"/>
      <c r="N157" s="22" t="n"/>
      <c r="O157" s="22" t="n"/>
      <c r="P157" s="22" t="n"/>
      <c r="Q157" s="31">
        <f>IF(OR($A157="",$C157=""),"",SUMIFS('Datos diario'!$E:$E,'Datos diario'!$C:$C,$C157,'Datos diario'!$B:$B,$A157-WEEKDAY($A157,3)))</f>
        <v/>
      </c>
      <c r="R157" s="32">
        <f>IF(OR($A157="",$C157=""),"",IFERROR(SUMIFS('Datos diario'!$F:$F,'Datos diario'!$C:$C,$C157,'Datos diario'!$B:$B,$A157-WEEKDAY($A157,3))/(SUMIFS('Datos diario'!$F:$F,'Datos diario'!$C:$C,$C157,'Datos diario'!$B:$B,$A157-WEEKDAY($A157,3))+SUMIFS('Datos diario'!$G:$G,'Datos diario'!$C:$C,$C157,'Datos diario'!$B:$B,$A157-WEEKDAY($A157,3))),""))</f>
        <v/>
      </c>
      <c r="S157" s="31">
        <f>IF(OR($A157="",$C157=""),"",SUMIFS('Datos diario'!$I:$I,'Datos diario'!$C:$C,$C157,'Datos diario'!$B:$B,$A157-WEEKDAY($A157,3)))</f>
        <v/>
      </c>
      <c r="T157" s="31">
        <f>IF(OR($A157="",$C157=""),"",SUMIFS('Datos diario'!$P:$P,'Datos diario'!$C:$C,$C157,'Datos diario'!$B:$B,$A157-WEEKDAY($A157,3)))</f>
        <v/>
      </c>
      <c r="U157" s="31">
        <f>IF(OR($A157="",$C157=""),"",ROUND(SUMIFS('Datos diario'!$U:$U,'Datos diario'!$C:$C,$C157,'Datos diario'!$B:$B,$A157-WEEKDAY($A157,3)),0))</f>
        <v/>
      </c>
      <c r="V157" s="30">
        <f>IF(OR($A157="",$C157=""),"",IFERROR(ROUND(AVERAGEIFS('Datos diario'!$M:$M,'Datos diario'!$C:$C,$C157,'Datos diario'!$B:$B,$A157-WEEKDAY($A157,3),'Datos diario'!$L:$L,"&gt;0"),1),""))</f>
        <v/>
      </c>
    </row>
    <row r="158">
      <c r="A158" s="26" t="n"/>
      <c r="B158" s="22" t="n"/>
      <c r="C158" s="23">
        <f>IF(B158="","",IFERROR(INDEX(Perfil!$B$6:$B$17,MATCH(B158,Perfil!$A$6:$A$17,0)),""))</f>
        <v/>
      </c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30">
        <f>IF(COUNT(D158:K158)=0,"",AVERAGE(D158:K158))</f>
        <v/>
      </c>
      <c r="M158" s="22" t="n"/>
      <c r="N158" s="22" t="n"/>
      <c r="O158" s="22" t="n"/>
      <c r="P158" s="22" t="n"/>
      <c r="Q158" s="31">
        <f>IF(OR($A158="",$C158=""),"",SUMIFS('Datos diario'!$E:$E,'Datos diario'!$C:$C,$C158,'Datos diario'!$B:$B,$A158-WEEKDAY($A158,3)))</f>
        <v/>
      </c>
      <c r="R158" s="32">
        <f>IF(OR($A158="",$C158=""),"",IFERROR(SUMIFS('Datos diario'!$F:$F,'Datos diario'!$C:$C,$C158,'Datos diario'!$B:$B,$A158-WEEKDAY($A158,3))/(SUMIFS('Datos diario'!$F:$F,'Datos diario'!$C:$C,$C158,'Datos diario'!$B:$B,$A158-WEEKDAY($A158,3))+SUMIFS('Datos diario'!$G:$G,'Datos diario'!$C:$C,$C158,'Datos diario'!$B:$B,$A158-WEEKDAY($A158,3))),""))</f>
        <v/>
      </c>
      <c r="S158" s="31">
        <f>IF(OR($A158="",$C158=""),"",SUMIFS('Datos diario'!$I:$I,'Datos diario'!$C:$C,$C158,'Datos diario'!$B:$B,$A158-WEEKDAY($A158,3)))</f>
        <v/>
      </c>
      <c r="T158" s="31">
        <f>IF(OR($A158="",$C158=""),"",SUMIFS('Datos diario'!$P:$P,'Datos diario'!$C:$C,$C158,'Datos diario'!$B:$B,$A158-WEEKDAY($A158,3)))</f>
        <v/>
      </c>
      <c r="U158" s="31">
        <f>IF(OR($A158="",$C158=""),"",ROUND(SUMIFS('Datos diario'!$U:$U,'Datos diario'!$C:$C,$C158,'Datos diario'!$B:$B,$A158-WEEKDAY($A158,3)),0))</f>
        <v/>
      </c>
      <c r="V158" s="30">
        <f>IF(OR($A158="",$C158=""),"",IFERROR(ROUND(AVERAGEIFS('Datos diario'!$M:$M,'Datos diario'!$C:$C,$C158,'Datos diario'!$B:$B,$A158-WEEKDAY($A158,3),'Datos diario'!$L:$L,"&gt;0"),1),""))</f>
        <v/>
      </c>
    </row>
    <row r="159">
      <c r="A159" s="26" t="n"/>
      <c r="B159" s="22" t="n"/>
      <c r="C159" s="23">
        <f>IF(B159="","",IFERROR(INDEX(Perfil!$B$6:$B$17,MATCH(B159,Perfil!$A$6:$A$17,0)),""))</f>
        <v/>
      </c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30">
        <f>IF(COUNT(D159:K159)=0,"",AVERAGE(D159:K159))</f>
        <v/>
      </c>
      <c r="M159" s="22" t="n"/>
      <c r="N159" s="22" t="n"/>
      <c r="O159" s="22" t="n"/>
      <c r="P159" s="22" t="n"/>
      <c r="Q159" s="31">
        <f>IF(OR($A159="",$C159=""),"",SUMIFS('Datos diario'!$E:$E,'Datos diario'!$C:$C,$C159,'Datos diario'!$B:$B,$A159-WEEKDAY($A159,3)))</f>
        <v/>
      </c>
      <c r="R159" s="32">
        <f>IF(OR($A159="",$C159=""),"",IFERROR(SUMIFS('Datos diario'!$F:$F,'Datos diario'!$C:$C,$C159,'Datos diario'!$B:$B,$A159-WEEKDAY($A159,3))/(SUMIFS('Datos diario'!$F:$F,'Datos diario'!$C:$C,$C159,'Datos diario'!$B:$B,$A159-WEEKDAY($A159,3))+SUMIFS('Datos diario'!$G:$G,'Datos diario'!$C:$C,$C159,'Datos diario'!$B:$B,$A159-WEEKDAY($A159,3))),""))</f>
        <v/>
      </c>
      <c r="S159" s="31">
        <f>IF(OR($A159="",$C159=""),"",SUMIFS('Datos diario'!$I:$I,'Datos diario'!$C:$C,$C159,'Datos diario'!$B:$B,$A159-WEEKDAY($A159,3)))</f>
        <v/>
      </c>
      <c r="T159" s="31">
        <f>IF(OR($A159="",$C159=""),"",SUMIFS('Datos diario'!$P:$P,'Datos diario'!$C:$C,$C159,'Datos diario'!$B:$B,$A159-WEEKDAY($A159,3)))</f>
        <v/>
      </c>
      <c r="U159" s="31">
        <f>IF(OR($A159="",$C159=""),"",ROUND(SUMIFS('Datos diario'!$U:$U,'Datos diario'!$C:$C,$C159,'Datos diario'!$B:$B,$A159-WEEKDAY($A159,3)),0))</f>
        <v/>
      </c>
      <c r="V159" s="30">
        <f>IF(OR($A159="",$C159=""),"",IFERROR(ROUND(AVERAGEIFS('Datos diario'!$M:$M,'Datos diario'!$C:$C,$C159,'Datos diario'!$B:$B,$A159-WEEKDAY($A159,3),'Datos diario'!$L:$L,"&gt;0"),1),""))</f>
        <v/>
      </c>
    </row>
    <row r="160">
      <c r="A160" s="26" t="n"/>
      <c r="B160" s="22" t="n"/>
      <c r="C160" s="23">
        <f>IF(B160="","",IFERROR(INDEX(Perfil!$B$6:$B$17,MATCH(B160,Perfil!$A$6:$A$17,0)),""))</f>
        <v/>
      </c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30">
        <f>IF(COUNT(D160:K160)=0,"",AVERAGE(D160:K160))</f>
        <v/>
      </c>
      <c r="M160" s="22" t="n"/>
      <c r="N160" s="22" t="n"/>
      <c r="O160" s="22" t="n"/>
      <c r="P160" s="22" t="n"/>
      <c r="Q160" s="31">
        <f>IF(OR($A160="",$C160=""),"",SUMIFS('Datos diario'!$E:$E,'Datos diario'!$C:$C,$C160,'Datos diario'!$B:$B,$A160-WEEKDAY($A160,3)))</f>
        <v/>
      </c>
      <c r="R160" s="32">
        <f>IF(OR($A160="",$C160=""),"",IFERROR(SUMIFS('Datos diario'!$F:$F,'Datos diario'!$C:$C,$C160,'Datos diario'!$B:$B,$A160-WEEKDAY($A160,3))/(SUMIFS('Datos diario'!$F:$F,'Datos diario'!$C:$C,$C160,'Datos diario'!$B:$B,$A160-WEEKDAY($A160,3))+SUMIFS('Datos diario'!$G:$G,'Datos diario'!$C:$C,$C160,'Datos diario'!$B:$B,$A160-WEEKDAY($A160,3))),""))</f>
        <v/>
      </c>
      <c r="S160" s="31">
        <f>IF(OR($A160="",$C160=""),"",SUMIFS('Datos diario'!$I:$I,'Datos diario'!$C:$C,$C160,'Datos diario'!$B:$B,$A160-WEEKDAY($A160,3)))</f>
        <v/>
      </c>
      <c r="T160" s="31">
        <f>IF(OR($A160="",$C160=""),"",SUMIFS('Datos diario'!$P:$P,'Datos diario'!$C:$C,$C160,'Datos diario'!$B:$B,$A160-WEEKDAY($A160,3)))</f>
        <v/>
      </c>
      <c r="U160" s="31">
        <f>IF(OR($A160="",$C160=""),"",ROUND(SUMIFS('Datos diario'!$U:$U,'Datos diario'!$C:$C,$C160,'Datos diario'!$B:$B,$A160-WEEKDAY($A160,3)),0))</f>
        <v/>
      </c>
      <c r="V160" s="30">
        <f>IF(OR($A160="",$C160=""),"",IFERROR(ROUND(AVERAGEIFS('Datos diario'!$M:$M,'Datos diario'!$C:$C,$C160,'Datos diario'!$B:$B,$A160-WEEKDAY($A160,3),'Datos diario'!$L:$L,"&gt;0"),1),""))</f>
        <v/>
      </c>
    </row>
    <row r="161">
      <c r="A161" s="26" t="n"/>
      <c r="B161" s="22" t="n"/>
      <c r="C161" s="23">
        <f>IF(B161="","",IFERROR(INDEX(Perfil!$B$6:$B$17,MATCH(B161,Perfil!$A$6:$A$17,0)),""))</f>
        <v/>
      </c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30">
        <f>IF(COUNT(D161:K161)=0,"",AVERAGE(D161:K161))</f>
        <v/>
      </c>
      <c r="M161" s="22" t="n"/>
      <c r="N161" s="22" t="n"/>
      <c r="O161" s="22" t="n"/>
      <c r="P161" s="22" t="n"/>
      <c r="Q161" s="31">
        <f>IF(OR($A161="",$C161=""),"",SUMIFS('Datos diario'!$E:$E,'Datos diario'!$C:$C,$C161,'Datos diario'!$B:$B,$A161-WEEKDAY($A161,3)))</f>
        <v/>
      </c>
      <c r="R161" s="32">
        <f>IF(OR($A161="",$C161=""),"",IFERROR(SUMIFS('Datos diario'!$F:$F,'Datos diario'!$C:$C,$C161,'Datos diario'!$B:$B,$A161-WEEKDAY($A161,3))/(SUMIFS('Datos diario'!$F:$F,'Datos diario'!$C:$C,$C161,'Datos diario'!$B:$B,$A161-WEEKDAY($A161,3))+SUMIFS('Datos diario'!$G:$G,'Datos diario'!$C:$C,$C161,'Datos diario'!$B:$B,$A161-WEEKDAY($A161,3))),""))</f>
        <v/>
      </c>
      <c r="S161" s="31">
        <f>IF(OR($A161="",$C161=""),"",SUMIFS('Datos diario'!$I:$I,'Datos diario'!$C:$C,$C161,'Datos diario'!$B:$B,$A161-WEEKDAY($A161,3)))</f>
        <v/>
      </c>
      <c r="T161" s="31">
        <f>IF(OR($A161="",$C161=""),"",SUMIFS('Datos diario'!$P:$P,'Datos diario'!$C:$C,$C161,'Datos diario'!$B:$B,$A161-WEEKDAY($A161,3)))</f>
        <v/>
      </c>
      <c r="U161" s="31">
        <f>IF(OR($A161="",$C161=""),"",ROUND(SUMIFS('Datos diario'!$U:$U,'Datos diario'!$C:$C,$C161,'Datos diario'!$B:$B,$A161-WEEKDAY($A161,3)),0))</f>
        <v/>
      </c>
      <c r="V161" s="30">
        <f>IF(OR($A161="",$C161=""),"",IFERROR(ROUND(AVERAGEIFS('Datos diario'!$M:$M,'Datos diario'!$C:$C,$C161,'Datos diario'!$B:$B,$A161-WEEKDAY($A161,3),'Datos diario'!$L:$L,"&gt;0"),1),""))</f>
        <v/>
      </c>
    </row>
    <row r="162">
      <c r="A162" s="26" t="n"/>
      <c r="B162" s="22" t="n"/>
      <c r="C162" s="23">
        <f>IF(B162="","",IFERROR(INDEX(Perfil!$B$6:$B$17,MATCH(B162,Perfil!$A$6:$A$17,0)),""))</f>
        <v/>
      </c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30">
        <f>IF(COUNT(D162:K162)=0,"",AVERAGE(D162:K162))</f>
        <v/>
      </c>
      <c r="M162" s="22" t="n"/>
      <c r="N162" s="22" t="n"/>
      <c r="O162" s="22" t="n"/>
      <c r="P162" s="22" t="n"/>
      <c r="Q162" s="31">
        <f>IF(OR($A162="",$C162=""),"",SUMIFS('Datos diario'!$E:$E,'Datos diario'!$C:$C,$C162,'Datos diario'!$B:$B,$A162-WEEKDAY($A162,3)))</f>
        <v/>
      </c>
      <c r="R162" s="32">
        <f>IF(OR($A162="",$C162=""),"",IFERROR(SUMIFS('Datos diario'!$F:$F,'Datos diario'!$C:$C,$C162,'Datos diario'!$B:$B,$A162-WEEKDAY($A162,3))/(SUMIFS('Datos diario'!$F:$F,'Datos diario'!$C:$C,$C162,'Datos diario'!$B:$B,$A162-WEEKDAY($A162,3))+SUMIFS('Datos diario'!$G:$G,'Datos diario'!$C:$C,$C162,'Datos diario'!$B:$B,$A162-WEEKDAY($A162,3))),""))</f>
        <v/>
      </c>
      <c r="S162" s="31">
        <f>IF(OR($A162="",$C162=""),"",SUMIFS('Datos diario'!$I:$I,'Datos diario'!$C:$C,$C162,'Datos diario'!$B:$B,$A162-WEEKDAY($A162,3)))</f>
        <v/>
      </c>
      <c r="T162" s="31">
        <f>IF(OR($A162="",$C162=""),"",SUMIFS('Datos diario'!$P:$P,'Datos diario'!$C:$C,$C162,'Datos diario'!$B:$B,$A162-WEEKDAY($A162,3)))</f>
        <v/>
      </c>
      <c r="U162" s="31">
        <f>IF(OR($A162="",$C162=""),"",ROUND(SUMIFS('Datos diario'!$U:$U,'Datos diario'!$C:$C,$C162,'Datos diario'!$B:$B,$A162-WEEKDAY($A162,3)),0))</f>
        <v/>
      </c>
      <c r="V162" s="30">
        <f>IF(OR($A162="",$C162=""),"",IFERROR(ROUND(AVERAGEIFS('Datos diario'!$M:$M,'Datos diario'!$C:$C,$C162,'Datos diario'!$B:$B,$A162-WEEKDAY($A162,3),'Datos diario'!$L:$L,"&gt;0"),1),""))</f>
        <v/>
      </c>
    </row>
    <row r="163">
      <c r="A163" s="26" t="n"/>
      <c r="B163" s="22" t="n"/>
      <c r="C163" s="23">
        <f>IF(B163="","",IFERROR(INDEX(Perfil!$B$6:$B$17,MATCH(B163,Perfil!$A$6:$A$17,0)),""))</f>
        <v/>
      </c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30">
        <f>IF(COUNT(D163:K163)=0,"",AVERAGE(D163:K163))</f>
        <v/>
      </c>
      <c r="M163" s="22" t="n"/>
      <c r="N163" s="22" t="n"/>
      <c r="O163" s="22" t="n"/>
      <c r="P163" s="22" t="n"/>
      <c r="Q163" s="31">
        <f>IF(OR($A163="",$C163=""),"",SUMIFS('Datos diario'!$E:$E,'Datos diario'!$C:$C,$C163,'Datos diario'!$B:$B,$A163-WEEKDAY($A163,3)))</f>
        <v/>
      </c>
      <c r="R163" s="32">
        <f>IF(OR($A163="",$C163=""),"",IFERROR(SUMIFS('Datos diario'!$F:$F,'Datos diario'!$C:$C,$C163,'Datos diario'!$B:$B,$A163-WEEKDAY($A163,3))/(SUMIFS('Datos diario'!$F:$F,'Datos diario'!$C:$C,$C163,'Datos diario'!$B:$B,$A163-WEEKDAY($A163,3))+SUMIFS('Datos diario'!$G:$G,'Datos diario'!$C:$C,$C163,'Datos diario'!$B:$B,$A163-WEEKDAY($A163,3))),""))</f>
        <v/>
      </c>
      <c r="S163" s="31">
        <f>IF(OR($A163="",$C163=""),"",SUMIFS('Datos diario'!$I:$I,'Datos diario'!$C:$C,$C163,'Datos diario'!$B:$B,$A163-WEEKDAY($A163,3)))</f>
        <v/>
      </c>
      <c r="T163" s="31">
        <f>IF(OR($A163="",$C163=""),"",SUMIFS('Datos diario'!$P:$P,'Datos diario'!$C:$C,$C163,'Datos diario'!$B:$B,$A163-WEEKDAY($A163,3)))</f>
        <v/>
      </c>
      <c r="U163" s="31">
        <f>IF(OR($A163="",$C163=""),"",ROUND(SUMIFS('Datos diario'!$U:$U,'Datos diario'!$C:$C,$C163,'Datos diario'!$B:$B,$A163-WEEKDAY($A163,3)),0))</f>
        <v/>
      </c>
      <c r="V163" s="30">
        <f>IF(OR($A163="",$C163=""),"",IFERROR(ROUND(AVERAGEIFS('Datos diario'!$M:$M,'Datos diario'!$C:$C,$C163,'Datos diario'!$B:$B,$A163-WEEKDAY($A163,3),'Datos diario'!$L:$L,"&gt;0"),1),""))</f>
        <v/>
      </c>
    </row>
    <row r="164">
      <c r="A164" s="26" t="n"/>
      <c r="B164" s="22" t="n"/>
      <c r="C164" s="23">
        <f>IF(B164="","",IFERROR(INDEX(Perfil!$B$6:$B$17,MATCH(B164,Perfil!$A$6:$A$17,0)),""))</f>
        <v/>
      </c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30">
        <f>IF(COUNT(D164:K164)=0,"",AVERAGE(D164:K164))</f>
        <v/>
      </c>
      <c r="M164" s="22" t="n"/>
      <c r="N164" s="22" t="n"/>
      <c r="O164" s="22" t="n"/>
      <c r="P164" s="22" t="n"/>
      <c r="Q164" s="31">
        <f>IF(OR($A164="",$C164=""),"",SUMIFS('Datos diario'!$E:$E,'Datos diario'!$C:$C,$C164,'Datos diario'!$B:$B,$A164-WEEKDAY($A164,3)))</f>
        <v/>
      </c>
      <c r="R164" s="32">
        <f>IF(OR($A164="",$C164=""),"",IFERROR(SUMIFS('Datos diario'!$F:$F,'Datos diario'!$C:$C,$C164,'Datos diario'!$B:$B,$A164-WEEKDAY($A164,3))/(SUMIFS('Datos diario'!$F:$F,'Datos diario'!$C:$C,$C164,'Datos diario'!$B:$B,$A164-WEEKDAY($A164,3))+SUMIFS('Datos diario'!$G:$G,'Datos diario'!$C:$C,$C164,'Datos diario'!$B:$B,$A164-WEEKDAY($A164,3))),""))</f>
        <v/>
      </c>
      <c r="S164" s="31">
        <f>IF(OR($A164="",$C164=""),"",SUMIFS('Datos diario'!$I:$I,'Datos diario'!$C:$C,$C164,'Datos diario'!$B:$B,$A164-WEEKDAY($A164,3)))</f>
        <v/>
      </c>
      <c r="T164" s="31">
        <f>IF(OR($A164="",$C164=""),"",SUMIFS('Datos diario'!$P:$P,'Datos diario'!$C:$C,$C164,'Datos diario'!$B:$B,$A164-WEEKDAY($A164,3)))</f>
        <v/>
      </c>
      <c r="U164" s="31">
        <f>IF(OR($A164="",$C164=""),"",ROUND(SUMIFS('Datos diario'!$U:$U,'Datos diario'!$C:$C,$C164,'Datos diario'!$B:$B,$A164-WEEKDAY($A164,3)),0))</f>
        <v/>
      </c>
      <c r="V164" s="30">
        <f>IF(OR($A164="",$C164=""),"",IFERROR(ROUND(AVERAGEIFS('Datos diario'!$M:$M,'Datos diario'!$C:$C,$C164,'Datos diario'!$B:$B,$A164-WEEKDAY($A164,3),'Datos diario'!$L:$L,"&gt;0"),1),""))</f>
        <v/>
      </c>
    </row>
    <row r="165">
      <c r="A165" s="26" t="n"/>
      <c r="B165" s="22" t="n"/>
      <c r="C165" s="23">
        <f>IF(B165="","",IFERROR(INDEX(Perfil!$B$6:$B$17,MATCH(B165,Perfil!$A$6:$A$17,0)),""))</f>
        <v/>
      </c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30">
        <f>IF(COUNT(D165:K165)=0,"",AVERAGE(D165:K165))</f>
        <v/>
      </c>
      <c r="M165" s="22" t="n"/>
      <c r="N165" s="22" t="n"/>
      <c r="O165" s="22" t="n"/>
      <c r="P165" s="22" t="n"/>
      <c r="Q165" s="31">
        <f>IF(OR($A165="",$C165=""),"",SUMIFS('Datos diario'!$E:$E,'Datos diario'!$C:$C,$C165,'Datos diario'!$B:$B,$A165-WEEKDAY($A165,3)))</f>
        <v/>
      </c>
      <c r="R165" s="32">
        <f>IF(OR($A165="",$C165=""),"",IFERROR(SUMIFS('Datos diario'!$F:$F,'Datos diario'!$C:$C,$C165,'Datos diario'!$B:$B,$A165-WEEKDAY($A165,3))/(SUMIFS('Datos diario'!$F:$F,'Datos diario'!$C:$C,$C165,'Datos diario'!$B:$B,$A165-WEEKDAY($A165,3))+SUMIFS('Datos diario'!$G:$G,'Datos diario'!$C:$C,$C165,'Datos diario'!$B:$B,$A165-WEEKDAY($A165,3))),""))</f>
        <v/>
      </c>
      <c r="S165" s="31">
        <f>IF(OR($A165="",$C165=""),"",SUMIFS('Datos diario'!$I:$I,'Datos diario'!$C:$C,$C165,'Datos diario'!$B:$B,$A165-WEEKDAY($A165,3)))</f>
        <v/>
      </c>
      <c r="T165" s="31">
        <f>IF(OR($A165="",$C165=""),"",SUMIFS('Datos diario'!$P:$P,'Datos diario'!$C:$C,$C165,'Datos diario'!$B:$B,$A165-WEEKDAY($A165,3)))</f>
        <v/>
      </c>
      <c r="U165" s="31">
        <f>IF(OR($A165="",$C165=""),"",ROUND(SUMIFS('Datos diario'!$U:$U,'Datos diario'!$C:$C,$C165,'Datos diario'!$B:$B,$A165-WEEKDAY($A165,3)),0))</f>
        <v/>
      </c>
      <c r="V165" s="30">
        <f>IF(OR($A165="",$C165=""),"",IFERROR(ROUND(AVERAGEIFS('Datos diario'!$M:$M,'Datos diario'!$C:$C,$C165,'Datos diario'!$B:$B,$A165-WEEKDAY($A165,3),'Datos diario'!$L:$L,"&gt;0"),1),""))</f>
        <v/>
      </c>
    </row>
    <row r="166">
      <c r="A166" s="26" t="n"/>
      <c r="B166" s="22" t="n"/>
      <c r="C166" s="23">
        <f>IF(B166="","",IFERROR(INDEX(Perfil!$B$6:$B$17,MATCH(B166,Perfil!$A$6:$A$17,0)),""))</f>
        <v/>
      </c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30">
        <f>IF(COUNT(D166:K166)=0,"",AVERAGE(D166:K166))</f>
        <v/>
      </c>
      <c r="M166" s="22" t="n"/>
      <c r="N166" s="22" t="n"/>
      <c r="O166" s="22" t="n"/>
      <c r="P166" s="22" t="n"/>
      <c r="Q166" s="31">
        <f>IF(OR($A166="",$C166=""),"",SUMIFS('Datos diario'!$E:$E,'Datos diario'!$C:$C,$C166,'Datos diario'!$B:$B,$A166-WEEKDAY($A166,3)))</f>
        <v/>
      </c>
      <c r="R166" s="32">
        <f>IF(OR($A166="",$C166=""),"",IFERROR(SUMIFS('Datos diario'!$F:$F,'Datos diario'!$C:$C,$C166,'Datos diario'!$B:$B,$A166-WEEKDAY($A166,3))/(SUMIFS('Datos diario'!$F:$F,'Datos diario'!$C:$C,$C166,'Datos diario'!$B:$B,$A166-WEEKDAY($A166,3))+SUMIFS('Datos diario'!$G:$G,'Datos diario'!$C:$C,$C166,'Datos diario'!$B:$B,$A166-WEEKDAY($A166,3))),""))</f>
        <v/>
      </c>
      <c r="S166" s="31">
        <f>IF(OR($A166="",$C166=""),"",SUMIFS('Datos diario'!$I:$I,'Datos diario'!$C:$C,$C166,'Datos diario'!$B:$B,$A166-WEEKDAY($A166,3)))</f>
        <v/>
      </c>
      <c r="T166" s="31">
        <f>IF(OR($A166="",$C166=""),"",SUMIFS('Datos diario'!$P:$P,'Datos diario'!$C:$C,$C166,'Datos diario'!$B:$B,$A166-WEEKDAY($A166,3)))</f>
        <v/>
      </c>
      <c r="U166" s="31">
        <f>IF(OR($A166="",$C166=""),"",ROUND(SUMIFS('Datos diario'!$U:$U,'Datos diario'!$C:$C,$C166,'Datos diario'!$B:$B,$A166-WEEKDAY($A166,3)),0))</f>
        <v/>
      </c>
      <c r="V166" s="30">
        <f>IF(OR($A166="",$C166=""),"",IFERROR(ROUND(AVERAGEIFS('Datos diario'!$M:$M,'Datos diario'!$C:$C,$C166,'Datos diario'!$B:$B,$A166-WEEKDAY($A166,3),'Datos diario'!$L:$L,"&gt;0"),1),""))</f>
        <v/>
      </c>
    </row>
    <row r="167">
      <c r="A167" s="26" t="n"/>
      <c r="B167" s="22" t="n"/>
      <c r="C167" s="23">
        <f>IF(B167="","",IFERROR(INDEX(Perfil!$B$6:$B$17,MATCH(B167,Perfil!$A$6:$A$17,0)),""))</f>
        <v/>
      </c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30">
        <f>IF(COUNT(D167:K167)=0,"",AVERAGE(D167:K167))</f>
        <v/>
      </c>
      <c r="M167" s="22" t="n"/>
      <c r="N167" s="22" t="n"/>
      <c r="O167" s="22" t="n"/>
      <c r="P167" s="22" t="n"/>
      <c r="Q167" s="31">
        <f>IF(OR($A167="",$C167=""),"",SUMIFS('Datos diario'!$E:$E,'Datos diario'!$C:$C,$C167,'Datos diario'!$B:$B,$A167-WEEKDAY($A167,3)))</f>
        <v/>
      </c>
      <c r="R167" s="32">
        <f>IF(OR($A167="",$C167=""),"",IFERROR(SUMIFS('Datos diario'!$F:$F,'Datos diario'!$C:$C,$C167,'Datos diario'!$B:$B,$A167-WEEKDAY($A167,3))/(SUMIFS('Datos diario'!$F:$F,'Datos diario'!$C:$C,$C167,'Datos diario'!$B:$B,$A167-WEEKDAY($A167,3))+SUMIFS('Datos diario'!$G:$G,'Datos diario'!$C:$C,$C167,'Datos diario'!$B:$B,$A167-WEEKDAY($A167,3))),""))</f>
        <v/>
      </c>
      <c r="S167" s="31">
        <f>IF(OR($A167="",$C167=""),"",SUMIFS('Datos diario'!$I:$I,'Datos diario'!$C:$C,$C167,'Datos diario'!$B:$B,$A167-WEEKDAY($A167,3)))</f>
        <v/>
      </c>
      <c r="T167" s="31">
        <f>IF(OR($A167="",$C167=""),"",SUMIFS('Datos diario'!$P:$P,'Datos diario'!$C:$C,$C167,'Datos diario'!$B:$B,$A167-WEEKDAY($A167,3)))</f>
        <v/>
      </c>
      <c r="U167" s="31">
        <f>IF(OR($A167="",$C167=""),"",ROUND(SUMIFS('Datos diario'!$U:$U,'Datos diario'!$C:$C,$C167,'Datos diario'!$B:$B,$A167-WEEKDAY($A167,3)),0))</f>
        <v/>
      </c>
      <c r="V167" s="30">
        <f>IF(OR($A167="",$C167=""),"",IFERROR(ROUND(AVERAGEIFS('Datos diario'!$M:$M,'Datos diario'!$C:$C,$C167,'Datos diario'!$B:$B,$A167-WEEKDAY($A167,3),'Datos diario'!$L:$L,"&gt;0"),1),""))</f>
        <v/>
      </c>
    </row>
    <row r="168">
      <c r="A168" s="26" t="n"/>
      <c r="B168" s="22" t="n"/>
      <c r="C168" s="23">
        <f>IF(B168="","",IFERROR(INDEX(Perfil!$B$6:$B$17,MATCH(B168,Perfil!$A$6:$A$17,0)),""))</f>
        <v/>
      </c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30">
        <f>IF(COUNT(D168:K168)=0,"",AVERAGE(D168:K168))</f>
        <v/>
      </c>
      <c r="M168" s="22" t="n"/>
      <c r="N168" s="22" t="n"/>
      <c r="O168" s="22" t="n"/>
      <c r="P168" s="22" t="n"/>
      <c r="Q168" s="31">
        <f>IF(OR($A168="",$C168=""),"",SUMIFS('Datos diario'!$E:$E,'Datos diario'!$C:$C,$C168,'Datos diario'!$B:$B,$A168-WEEKDAY($A168,3)))</f>
        <v/>
      </c>
      <c r="R168" s="32">
        <f>IF(OR($A168="",$C168=""),"",IFERROR(SUMIFS('Datos diario'!$F:$F,'Datos diario'!$C:$C,$C168,'Datos diario'!$B:$B,$A168-WEEKDAY($A168,3))/(SUMIFS('Datos diario'!$F:$F,'Datos diario'!$C:$C,$C168,'Datos diario'!$B:$B,$A168-WEEKDAY($A168,3))+SUMIFS('Datos diario'!$G:$G,'Datos diario'!$C:$C,$C168,'Datos diario'!$B:$B,$A168-WEEKDAY($A168,3))),""))</f>
        <v/>
      </c>
      <c r="S168" s="31">
        <f>IF(OR($A168="",$C168=""),"",SUMIFS('Datos diario'!$I:$I,'Datos diario'!$C:$C,$C168,'Datos diario'!$B:$B,$A168-WEEKDAY($A168,3)))</f>
        <v/>
      </c>
      <c r="T168" s="31">
        <f>IF(OR($A168="",$C168=""),"",SUMIFS('Datos diario'!$P:$P,'Datos diario'!$C:$C,$C168,'Datos diario'!$B:$B,$A168-WEEKDAY($A168,3)))</f>
        <v/>
      </c>
      <c r="U168" s="31">
        <f>IF(OR($A168="",$C168=""),"",ROUND(SUMIFS('Datos diario'!$U:$U,'Datos diario'!$C:$C,$C168,'Datos diario'!$B:$B,$A168-WEEKDAY($A168,3)),0))</f>
        <v/>
      </c>
      <c r="V168" s="30">
        <f>IF(OR($A168="",$C168=""),"",IFERROR(ROUND(AVERAGEIFS('Datos diario'!$M:$M,'Datos diario'!$C:$C,$C168,'Datos diario'!$B:$B,$A168-WEEKDAY($A168,3),'Datos diario'!$L:$L,"&gt;0"),1),""))</f>
        <v/>
      </c>
    </row>
    <row r="169">
      <c r="A169" s="26" t="n"/>
      <c r="B169" s="22" t="n"/>
      <c r="C169" s="23">
        <f>IF(B169="","",IFERROR(INDEX(Perfil!$B$6:$B$17,MATCH(B169,Perfil!$A$6:$A$17,0)),""))</f>
        <v/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30">
        <f>IF(COUNT(D169:K169)=0,"",AVERAGE(D169:K169))</f>
        <v/>
      </c>
      <c r="M169" s="22" t="n"/>
      <c r="N169" s="22" t="n"/>
      <c r="O169" s="22" t="n"/>
      <c r="P169" s="22" t="n"/>
      <c r="Q169" s="31">
        <f>IF(OR($A169="",$C169=""),"",SUMIFS('Datos diario'!$E:$E,'Datos diario'!$C:$C,$C169,'Datos diario'!$B:$B,$A169-WEEKDAY($A169,3)))</f>
        <v/>
      </c>
      <c r="R169" s="32">
        <f>IF(OR($A169="",$C169=""),"",IFERROR(SUMIFS('Datos diario'!$F:$F,'Datos diario'!$C:$C,$C169,'Datos diario'!$B:$B,$A169-WEEKDAY($A169,3))/(SUMIFS('Datos diario'!$F:$F,'Datos diario'!$C:$C,$C169,'Datos diario'!$B:$B,$A169-WEEKDAY($A169,3))+SUMIFS('Datos diario'!$G:$G,'Datos diario'!$C:$C,$C169,'Datos diario'!$B:$B,$A169-WEEKDAY($A169,3))),""))</f>
        <v/>
      </c>
      <c r="S169" s="31">
        <f>IF(OR($A169="",$C169=""),"",SUMIFS('Datos diario'!$I:$I,'Datos diario'!$C:$C,$C169,'Datos diario'!$B:$B,$A169-WEEKDAY($A169,3)))</f>
        <v/>
      </c>
      <c r="T169" s="31">
        <f>IF(OR($A169="",$C169=""),"",SUMIFS('Datos diario'!$P:$P,'Datos diario'!$C:$C,$C169,'Datos diario'!$B:$B,$A169-WEEKDAY($A169,3)))</f>
        <v/>
      </c>
      <c r="U169" s="31">
        <f>IF(OR($A169="",$C169=""),"",ROUND(SUMIFS('Datos diario'!$U:$U,'Datos diario'!$C:$C,$C169,'Datos diario'!$B:$B,$A169-WEEKDAY($A169,3)),0))</f>
        <v/>
      </c>
      <c r="V169" s="30">
        <f>IF(OR($A169="",$C169=""),"",IFERROR(ROUND(AVERAGEIFS('Datos diario'!$M:$M,'Datos diario'!$C:$C,$C169,'Datos diario'!$B:$B,$A169-WEEKDAY($A169,3),'Datos diario'!$L:$L,"&gt;0"),1),""))</f>
        <v/>
      </c>
    </row>
    <row r="170">
      <c r="A170" s="26" t="n"/>
      <c r="B170" s="22" t="n"/>
      <c r="C170" s="23">
        <f>IF(B170="","",IFERROR(INDEX(Perfil!$B$6:$B$17,MATCH(B170,Perfil!$A$6:$A$17,0)),""))</f>
        <v/>
      </c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30">
        <f>IF(COUNT(D170:K170)=0,"",AVERAGE(D170:K170))</f>
        <v/>
      </c>
      <c r="M170" s="22" t="n"/>
      <c r="N170" s="22" t="n"/>
      <c r="O170" s="22" t="n"/>
      <c r="P170" s="22" t="n"/>
      <c r="Q170" s="31">
        <f>IF(OR($A170="",$C170=""),"",SUMIFS('Datos diario'!$E:$E,'Datos diario'!$C:$C,$C170,'Datos diario'!$B:$B,$A170-WEEKDAY($A170,3)))</f>
        <v/>
      </c>
      <c r="R170" s="32">
        <f>IF(OR($A170="",$C170=""),"",IFERROR(SUMIFS('Datos diario'!$F:$F,'Datos diario'!$C:$C,$C170,'Datos diario'!$B:$B,$A170-WEEKDAY($A170,3))/(SUMIFS('Datos diario'!$F:$F,'Datos diario'!$C:$C,$C170,'Datos diario'!$B:$B,$A170-WEEKDAY($A170,3))+SUMIFS('Datos diario'!$G:$G,'Datos diario'!$C:$C,$C170,'Datos diario'!$B:$B,$A170-WEEKDAY($A170,3))),""))</f>
        <v/>
      </c>
      <c r="S170" s="31">
        <f>IF(OR($A170="",$C170=""),"",SUMIFS('Datos diario'!$I:$I,'Datos diario'!$C:$C,$C170,'Datos diario'!$B:$B,$A170-WEEKDAY($A170,3)))</f>
        <v/>
      </c>
      <c r="T170" s="31">
        <f>IF(OR($A170="",$C170=""),"",SUMIFS('Datos diario'!$P:$P,'Datos diario'!$C:$C,$C170,'Datos diario'!$B:$B,$A170-WEEKDAY($A170,3)))</f>
        <v/>
      </c>
      <c r="U170" s="31">
        <f>IF(OR($A170="",$C170=""),"",ROUND(SUMIFS('Datos diario'!$U:$U,'Datos diario'!$C:$C,$C170,'Datos diario'!$B:$B,$A170-WEEKDAY($A170,3)),0))</f>
        <v/>
      </c>
      <c r="V170" s="30">
        <f>IF(OR($A170="",$C170=""),"",IFERROR(ROUND(AVERAGEIFS('Datos diario'!$M:$M,'Datos diario'!$C:$C,$C170,'Datos diario'!$B:$B,$A170-WEEKDAY($A170,3),'Datos diario'!$L:$L,"&gt;0"),1),""))</f>
        <v/>
      </c>
    </row>
    <row r="171">
      <c r="A171" s="26" t="n"/>
      <c r="B171" s="22" t="n"/>
      <c r="C171" s="23">
        <f>IF(B171="","",IFERROR(INDEX(Perfil!$B$6:$B$17,MATCH(B171,Perfil!$A$6:$A$17,0)),""))</f>
        <v/>
      </c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30">
        <f>IF(COUNT(D171:K171)=0,"",AVERAGE(D171:K171))</f>
        <v/>
      </c>
      <c r="M171" s="22" t="n"/>
      <c r="N171" s="22" t="n"/>
      <c r="O171" s="22" t="n"/>
      <c r="P171" s="22" t="n"/>
      <c r="Q171" s="31">
        <f>IF(OR($A171="",$C171=""),"",SUMIFS('Datos diario'!$E:$E,'Datos diario'!$C:$C,$C171,'Datos diario'!$B:$B,$A171-WEEKDAY($A171,3)))</f>
        <v/>
      </c>
      <c r="R171" s="32">
        <f>IF(OR($A171="",$C171=""),"",IFERROR(SUMIFS('Datos diario'!$F:$F,'Datos diario'!$C:$C,$C171,'Datos diario'!$B:$B,$A171-WEEKDAY($A171,3))/(SUMIFS('Datos diario'!$F:$F,'Datos diario'!$C:$C,$C171,'Datos diario'!$B:$B,$A171-WEEKDAY($A171,3))+SUMIFS('Datos diario'!$G:$G,'Datos diario'!$C:$C,$C171,'Datos diario'!$B:$B,$A171-WEEKDAY($A171,3))),""))</f>
        <v/>
      </c>
      <c r="S171" s="31">
        <f>IF(OR($A171="",$C171=""),"",SUMIFS('Datos diario'!$I:$I,'Datos diario'!$C:$C,$C171,'Datos diario'!$B:$B,$A171-WEEKDAY($A171,3)))</f>
        <v/>
      </c>
      <c r="T171" s="31">
        <f>IF(OR($A171="",$C171=""),"",SUMIFS('Datos diario'!$P:$P,'Datos diario'!$C:$C,$C171,'Datos diario'!$B:$B,$A171-WEEKDAY($A171,3)))</f>
        <v/>
      </c>
      <c r="U171" s="31">
        <f>IF(OR($A171="",$C171=""),"",ROUND(SUMIFS('Datos diario'!$U:$U,'Datos diario'!$C:$C,$C171,'Datos diario'!$B:$B,$A171-WEEKDAY($A171,3)),0))</f>
        <v/>
      </c>
      <c r="V171" s="30">
        <f>IF(OR($A171="",$C171=""),"",IFERROR(ROUND(AVERAGEIFS('Datos diario'!$M:$M,'Datos diario'!$C:$C,$C171,'Datos diario'!$B:$B,$A171-WEEKDAY($A171,3),'Datos diario'!$L:$L,"&gt;0"),1),""))</f>
        <v/>
      </c>
    </row>
    <row r="172">
      <c r="A172" s="26" t="n"/>
      <c r="B172" s="22" t="n"/>
      <c r="C172" s="23">
        <f>IF(B172="","",IFERROR(INDEX(Perfil!$B$6:$B$17,MATCH(B172,Perfil!$A$6:$A$17,0)),""))</f>
        <v/>
      </c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30">
        <f>IF(COUNT(D172:K172)=0,"",AVERAGE(D172:K172))</f>
        <v/>
      </c>
      <c r="M172" s="22" t="n"/>
      <c r="N172" s="22" t="n"/>
      <c r="O172" s="22" t="n"/>
      <c r="P172" s="22" t="n"/>
      <c r="Q172" s="31">
        <f>IF(OR($A172="",$C172=""),"",SUMIFS('Datos diario'!$E:$E,'Datos diario'!$C:$C,$C172,'Datos diario'!$B:$B,$A172-WEEKDAY($A172,3)))</f>
        <v/>
      </c>
      <c r="R172" s="32">
        <f>IF(OR($A172="",$C172=""),"",IFERROR(SUMIFS('Datos diario'!$F:$F,'Datos diario'!$C:$C,$C172,'Datos diario'!$B:$B,$A172-WEEKDAY($A172,3))/(SUMIFS('Datos diario'!$F:$F,'Datos diario'!$C:$C,$C172,'Datos diario'!$B:$B,$A172-WEEKDAY($A172,3))+SUMIFS('Datos diario'!$G:$G,'Datos diario'!$C:$C,$C172,'Datos diario'!$B:$B,$A172-WEEKDAY($A172,3))),""))</f>
        <v/>
      </c>
      <c r="S172" s="31">
        <f>IF(OR($A172="",$C172=""),"",SUMIFS('Datos diario'!$I:$I,'Datos diario'!$C:$C,$C172,'Datos diario'!$B:$B,$A172-WEEKDAY($A172,3)))</f>
        <v/>
      </c>
      <c r="T172" s="31">
        <f>IF(OR($A172="",$C172=""),"",SUMIFS('Datos diario'!$P:$P,'Datos diario'!$C:$C,$C172,'Datos diario'!$B:$B,$A172-WEEKDAY($A172,3)))</f>
        <v/>
      </c>
      <c r="U172" s="31">
        <f>IF(OR($A172="",$C172=""),"",ROUND(SUMIFS('Datos diario'!$U:$U,'Datos diario'!$C:$C,$C172,'Datos diario'!$B:$B,$A172-WEEKDAY($A172,3)),0))</f>
        <v/>
      </c>
      <c r="V172" s="30">
        <f>IF(OR($A172="",$C172=""),"",IFERROR(ROUND(AVERAGEIFS('Datos diario'!$M:$M,'Datos diario'!$C:$C,$C172,'Datos diario'!$B:$B,$A172-WEEKDAY($A172,3),'Datos diario'!$L:$L,"&gt;0"),1),""))</f>
        <v/>
      </c>
    </row>
    <row r="173">
      <c r="A173" s="26" t="n"/>
      <c r="B173" s="22" t="n"/>
      <c r="C173" s="23">
        <f>IF(B173="","",IFERROR(INDEX(Perfil!$B$6:$B$17,MATCH(B173,Perfil!$A$6:$A$17,0)),""))</f>
        <v/>
      </c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30">
        <f>IF(COUNT(D173:K173)=0,"",AVERAGE(D173:K173))</f>
        <v/>
      </c>
      <c r="M173" s="22" t="n"/>
      <c r="N173" s="22" t="n"/>
      <c r="O173" s="22" t="n"/>
      <c r="P173" s="22" t="n"/>
      <c r="Q173" s="31">
        <f>IF(OR($A173="",$C173=""),"",SUMIFS('Datos diario'!$E:$E,'Datos diario'!$C:$C,$C173,'Datos diario'!$B:$B,$A173-WEEKDAY($A173,3)))</f>
        <v/>
      </c>
      <c r="R173" s="32">
        <f>IF(OR($A173="",$C173=""),"",IFERROR(SUMIFS('Datos diario'!$F:$F,'Datos diario'!$C:$C,$C173,'Datos diario'!$B:$B,$A173-WEEKDAY($A173,3))/(SUMIFS('Datos diario'!$F:$F,'Datos diario'!$C:$C,$C173,'Datos diario'!$B:$B,$A173-WEEKDAY($A173,3))+SUMIFS('Datos diario'!$G:$G,'Datos diario'!$C:$C,$C173,'Datos diario'!$B:$B,$A173-WEEKDAY($A173,3))),""))</f>
        <v/>
      </c>
      <c r="S173" s="31">
        <f>IF(OR($A173="",$C173=""),"",SUMIFS('Datos diario'!$I:$I,'Datos diario'!$C:$C,$C173,'Datos diario'!$B:$B,$A173-WEEKDAY($A173,3)))</f>
        <v/>
      </c>
      <c r="T173" s="31">
        <f>IF(OR($A173="",$C173=""),"",SUMIFS('Datos diario'!$P:$P,'Datos diario'!$C:$C,$C173,'Datos diario'!$B:$B,$A173-WEEKDAY($A173,3)))</f>
        <v/>
      </c>
      <c r="U173" s="31">
        <f>IF(OR($A173="",$C173=""),"",ROUND(SUMIFS('Datos diario'!$U:$U,'Datos diario'!$C:$C,$C173,'Datos diario'!$B:$B,$A173-WEEKDAY($A173,3)),0))</f>
        <v/>
      </c>
      <c r="V173" s="30">
        <f>IF(OR($A173="",$C173=""),"",IFERROR(ROUND(AVERAGEIFS('Datos diario'!$M:$M,'Datos diario'!$C:$C,$C173,'Datos diario'!$B:$B,$A173-WEEKDAY($A173,3),'Datos diario'!$L:$L,"&gt;0"),1),""))</f>
        <v/>
      </c>
    </row>
    <row r="174">
      <c r="A174" s="26" t="n"/>
      <c r="B174" s="22" t="n"/>
      <c r="C174" s="23">
        <f>IF(B174="","",IFERROR(INDEX(Perfil!$B$6:$B$17,MATCH(B174,Perfil!$A$6:$A$17,0)),""))</f>
        <v/>
      </c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30">
        <f>IF(COUNT(D174:K174)=0,"",AVERAGE(D174:K174))</f>
        <v/>
      </c>
      <c r="M174" s="22" t="n"/>
      <c r="N174" s="22" t="n"/>
      <c r="O174" s="22" t="n"/>
      <c r="P174" s="22" t="n"/>
      <c r="Q174" s="31">
        <f>IF(OR($A174="",$C174=""),"",SUMIFS('Datos diario'!$E:$E,'Datos diario'!$C:$C,$C174,'Datos diario'!$B:$B,$A174-WEEKDAY($A174,3)))</f>
        <v/>
      </c>
      <c r="R174" s="32">
        <f>IF(OR($A174="",$C174=""),"",IFERROR(SUMIFS('Datos diario'!$F:$F,'Datos diario'!$C:$C,$C174,'Datos diario'!$B:$B,$A174-WEEKDAY($A174,3))/(SUMIFS('Datos diario'!$F:$F,'Datos diario'!$C:$C,$C174,'Datos diario'!$B:$B,$A174-WEEKDAY($A174,3))+SUMIFS('Datos diario'!$G:$G,'Datos diario'!$C:$C,$C174,'Datos diario'!$B:$B,$A174-WEEKDAY($A174,3))),""))</f>
        <v/>
      </c>
      <c r="S174" s="31">
        <f>IF(OR($A174="",$C174=""),"",SUMIFS('Datos diario'!$I:$I,'Datos diario'!$C:$C,$C174,'Datos diario'!$B:$B,$A174-WEEKDAY($A174,3)))</f>
        <v/>
      </c>
      <c r="T174" s="31">
        <f>IF(OR($A174="",$C174=""),"",SUMIFS('Datos diario'!$P:$P,'Datos diario'!$C:$C,$C174,'Datos diario'!$B:$B,$A174-WEEKDAY($A174,3)))</f>
        <v/>
      </c>
      <c r="U174" s="31">
        <f>IF(OR($A174="",$C174=""),"",ROUND(SUMIFS('Datos diario'!$U:$U,'Datos diario'!$C:$C,$C174,'Datos diario'!$B:$B,$A174-WEEKDAY($A174,3)),0))</f>
        <v/>
      </c>
      <c r="V174" s="30">
        <f>IF(OR($A174="",$C174=""),"",IFERROR(ROUND(AVERAGEIFS('Datos diario'!$M:$M,'Datos diario'!$C:$C,$C174,'Datos diario'!$B:$B,$A174-WEEKDAY($A174,3),'Datos diario'!$L:$L,"&gt;0"),1),""))</f>
        <v/>
      </c>
    </row>
    <row r="175">
      <c r="A175" s="26" t="n"/>
      <c r="B175" s="22" t="n"/>
      <c r="C175" s="23">
        <f>IF(B175="","",IFERROR(INDEX(Perfil!$B$6:$B$17,MATCH(B175,Perfil!$A$6:$A$17,0)),""))</f>
        <v/>
      </c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30">
        <f>IF(COUNT(D175:K175)=0,"",AVERAGE(D175:K175))</f>
        <v/>
      </c>
      <c r="M175" s="22" t="n"/>
      <c r="N175" s="22" t="n"/>
      <c r="O175" s="22" t="n"/>
      <c r="P175" s="22" t="n"/>
      <c r="Q175" s="31">
        <f>IF(OR($A175="",$C175=""),"",SUMIFS('Datos diario'!$E:$E,'Datos diario'!$C:$C,$C175,'Datos diario'!$B:$B,$A175-WEEKDAY($A175,3)))</f>
        <v/>
      </c>
      <c r="R175" s="32">
        <f>IF(OR($A175="",$C175=""),"",IFERROR(SUMIFS('Datos diario'!$F:$F,'Datos diario'!$C:$C,$C175,'Datos diario'!$B:$B,$A175-WEEKDAY($A175,3))/(SUMIFS('Datos diario'!$F:$F,'Datos diario'!$C:$C,$C175,'Datos diario'!$B:$B,$A175-WEEKDAY($A175,3))+SUMIFS('Datos diario'!$G:$G,'Datos diario'!$C:$C,$C175,'Datos diario'!$B:$B,$A175-WEEKDAY($A175,3))),""))</f>
        <v/>
      </c>
      <c r="S175" s="31">
        <f>IF(OR($A175="",$C175=""),"",SUMIFS('Datos diario'!$I:$I,'Datos diario'!$C:$C,$C175,'Datos diario'!$B:$B,$A175-WEEKDAY($A175,3)))</f>
        <v/>
      </c>
      <c r="T175" s="31">
        <f>IF(OR($A175="",$C175=""),"",SUMIFS('Datos diario'!$P:$P,'Datos diario'!$C:$C,$C175,'Datos diario'!$B:$B,$A175-WEEKDAY($A175,3)))</f>
        <v/>
      </c>
      <c r="U175" s="31">
        <f>IF(OR($A175="",$C175=""),"",ROUND(SUMIFS('Datos diario'!$U:$U,'Datos diario'!$C:$C,$C175,'Datos diario'!$B:$B,$A175-WEEKDAY($A175,3)),0))</f>
        <v/>
      </c>
      <c r="V175" s="30">
        <f>IF(OR($A175="",$C175=""),"",IFERROR(ROUND(AVERAGEIFS('Datos diario'!$M:$M,'Datos diario'!$C:$C,$C175,'Datos diario'!$B:$B,$A175-WEEKDAY($A175,3),'Datos diario'!$L:$L,"&gt;0"),1),""))</f>
        <v/>
      </c>
    </row>
    <row r="176">
      <c r="A176" s="26" t="n"/>
      <c r="B176" s="22" t="n"/>
      <c r="C176" s="23">
        <f>IF(B176="","",IFERROR(INDEX(Perfil!$B$6:$B$17,MATCH(B176,Perfil!$A$6:$A$17,0)),""))</f>
        <v/>
      </c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30">
        <f>IF(COUNT(D176:K176)=0,"",AVERAGE(D176:K176))</f>
        <v/>
      </c>
      <c r="M176" s="22" t="n"/>
      <c r="N176" s="22" t="n"/>
      <c r="O176" s="22" t="n"/>
      <c r="P176" s="22" t="n"/>
      <c r="Q176" s="31">
        <f>IF(OR($A176="",$C176=""),"",SUMIFS('Datos diario'!$E:$E,'Datos diario'!$C:$C,$C176,'Datos diario'!$B:$B,$A176-WEEKDAY($A176,3)))</f>
        <v/>
      </c>
      <c r="R176" s="32">
        <f>IF(OR($A176="",$C176=""),"",IFERROR(SUMIFS('Datos diario'!$F:$F,'Datos diario'!$C:$C,$C176,'Datos diario'!$B:$B,$A176-WEEKDAY($A176,3))/(SUMIFS('Datos diario'!$F:$F,'Datos diario'!$C:$C,$C176,'Datos diario'!$B:$B,$A176-WEEKDAY($A176,3))+SUMIFS('Datos diario'!$G:$G,'Datos diario'!$C:$C,$C176,'Datos diario'!$B:$B,$A176-WEEKDAY($A176,3))),""))</f>
        <v/>
      </c>
      <c r="S176" s="31">
        <f>IF(OR($A176="",$C176=""),"",SUMIFS('Datos diario'!$I:$I,'Datos diario'!$C:$C,$C176,'Datos diario'!$B:$B,$A176-WEEKDAY($A176,3)))</f>
        <v/>
      </c>
      <c r="T176" s="31">
        <f>IF(OR($A176="",$C176=""),"",SUMIFS('Datos diario'!$P:$P,'Datos diario'!$C:$C,$C176,'Datos diario'!$B:$B,$A176-WEEKDAY($A176,3)))</f>
        <v/>
      </c>
      <c r="U176" s="31">
        <f>IF(OR($A176="",$C176=""),"",ROUND(SUMIFS('Datos diario'!$U:$U,'Datos diario'!$C:$C,$C176,'Datos diario'!$B:$B,$A176-WEEKDAY($A176,3)),0))</f>
        <v/>
      </c>
      <c r="V176" s="30">
        <f>IF(OR($A176="",$C176=""),"",IFERROR(ROUND(AVERAGEIFS('Datos diario'!$M:$M,'Datos diario'!$C:$C,$C176,'Datos diario'!$B:$B,$A176-WEEKDAY($A176,3),'Datos diario'!$L:$L,"&gt;0"),1),""))</f>
        <v/>
      </c>
    </row>
    <row r="177">
      <c r="A177" s="26" t="n"/>
      <c r="B177" s="22" t="n"/>
      <c r="C177" s="23">
        <f>IF(B177="","",IFERROR(INDEX(Perfil!$B$6:$B$17,MATCH(B177,Perfil!$A$6:$A$17,0)),""))</f>
        <v/>
      </c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30">
        <f>IF(COUNT(D177:K177)=0,"",AVERAGE(D177:K177))</f>
        <v/>
      </c>
      <c r="M177" s="22" t="n"/>
      <c r="N177" s="22" t="n"/>
      <c r="O177" s="22" t="n"/>
      <c r="P177" s="22" t="n"/>
      <c r="Q177" s="31">
        <f>IF(OR($A177="",$C177=""),"",SUMIFS('Datos diario'!$E:$E,'Datos diario'!$C:$C,$C177,'Datos diario'!$B:$B,$A177-WEEKDAY($A177,3)))</f>
        <v/>
      </c>
      <c r="R177" s="32">
        <f>IF(OR($A177="",$C177=""),"",IFERROR(SUMIFS('Datos diario'!$F:$F,'Datos diario'!$C:$C,$C177,'Datos diario'!$B:$B,$A177-WEEKDAY($A177,3))/(SUMIFS('Datos diario'!$F:$F,'Datos diario'!$C:$C,$C177,'Datos diario'!$B:$B,$A177-WEEKDAY($A177,3))+SUMIFS('Datos diario'!$G:$G,'Datos diario'!$C:$C,$C177,'Datos diario'!$B:$B,$A177-WEEKDAY($A177,3))),""))</f>
        <v/>
      </c>
      <c r="S177" s="31">
        <f>IF(OR($A177="",$C177=""),"",SUMIFS('Datos diario'!$I:$I,'Datos diario'!$C:$C,$C177,'Datos diario'!$B:$B,$A177-WEEKDAY($A177,3)))</f>
        <v/>
      </c>
      <c r="T177" s="31">
        <f>IF(OR($A177="",$C177=""),"",SUMIFS('Datos diario'!$P:$P,'Datos diario'!$C:$C,$C177,'Datos diario'!$B:$B,$A177-WEEKDAY($A177,3)))</f>
        <v/>
      </c>
      <c r="U177" s="31">
        <f>IF(OR($A177="",$C177=""),"",ROUND(SUMIFS('Datos diario'!$U:$U,'Datos diario'!$C:$C,$C177,'Datos diario'!$B:$B,$A177-WEEKDAY($A177,3)),0))</f>
        <v/>
      </c>
      <c r="V177" s="30">
        <f>IF(OR($A177="",$C177=""),"",IFERROR(ROUND(AVERAGEIFS('Datos diario'!$M:$M,'Datos diario'!$C:$C,$C177,'Datos diario'!$B:$B,$A177-WEEKDAY($A177,3),'Datos diario'!$L:$L,"&gt;0"),1),""))</f>
        <v/>
      </c>
    </row>
    <row r="178">
      <c r="A178" s="26" t="n"/>
      <c r="B178" s="22" t="n"/>
      <c r="C178" s="23">
        <f>IF(B178="","",IFERROR(INDEX(Perfil!$B$6:$B$17,MATCH(B178,Perfil!$A$6:$A$17,0)),""))</f>
        <v/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30">
        <f>IF(COUNT(D178:K178)=0,"",AVERAGE(D178:K178))</f>
        <v/>
      </c>
      <c r="M178" s="22" t="n"/>
      <c r="N178" s="22" t="n"/>
      <c r="O178" s="22" t="n"/>
      <c r="P178" s="22" t="n"/>
      <c r="Q178" s="31">
        <f>IF(OR($A178="",$C178=""),"",SUMIFS('Datos diario'!$E:$E,'Datos diario'!$C:$C,$C178,'Datos diario'!$B:$B,$A178-WEEKDAY($A178,3)))</f>
        <v/>
      </c>
      <c r="R178" s="32">
        <f>IF(OR($A178="",$C178=""),"",IFERROR(SUMIFS('Datos diario'!$F:$F,'Datos diario'!$C:$C,$C178,'Datos diario'!$B:$B,$A178-WEEKDAY($A178,3))/(SUMIFS('Datos diario'!$F:$F,'Datos diario'!$C:$C,$C178,'Datos diario'!$B:$B,$A178-WEEKDAY($A178,3))+SUMIFS('Datos diario'!$G:$G,'Datos diario'!$C:$C,$C178,'Datos diario'!$B:$B,$A178-WEEKDAY($A178,3))),""))</f>
        <v/>
      </c>
      <c r="S178" s="31">
        <f>IF(OR($A178="",$C178=""),"",SUMIFS('Datos diario'!$I:$I,'Datos diario'!$C:$C,$C178,'Datos diario'!$B:$B,$A178-WEEKDAY($A178,3)))</f>
        <v/>
      </c>
      <c r="T178" s="31">
        <f>IF(OR($A178="",$C178=""),"",SUMIFS('Datos diario'!$P:$P,'Datos diario'!$C:$C,$C178,'Datos diario'!$B:$B,$A178-WEEKDAY($A178,3)))</f>
        <v/>
      </c>
      <c r="U178" s="31">
        <f>IF(OR($A178="",$C178=""),"",ROUND(SUMIFS('Datos diario'!$U:$U,'Datos diario'!$C:$C,$C178,'Datos diario'!$B:$B,$A178-WEEKDAY($A178,3)),0))</f>
        <v/>
      </c>
      <c r="V178" s="30">
        <f>IF(OR($A178="",$C178=""),"",IFERROR(ROUND(AVERAGEIFS('Datos diario'!$M:$M,'Datos diario'!$C:$C,$C178,'Datos diario'!$B:$B,$A178-WEEKDAY($A178,3),'Datos diario'!$L:$L,"&gt;0"),1),""))</f>
        <v/>
      </c>
    </row>
    <row r="179">
      <c r="A179" s="26" t="n"/>
      <c r="B179" s="22" t="n"/>
      <c r="C179" s="23">
        <f>IF(B179="","",IFERROR(INDEX(Perfil!$B$6:$B$17,MATCH(B179,Perfil!$A$6:$A$17,0)),""))</f>
        <v/>
      </c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30">
        <f>IF(COUNT(D179:K179)=0,"",AVERAGE(D179:K179))</f>
        <v/>
      </c>
      <c r="M179" s="22" t="n"/>
      <c r="N179" s="22" t="n"/>
      <c r="O179" s="22" t="n"/>
      <c r="P179" s="22" t="n"/>
      <c r="Q179" s="31">
        <f>IF(OR($A179="",$C179=""),"",SUMIFS('Datos diario'!$E:$E,'Datos diario'!$C:$C,$C179,'Datos diario'!$B:$B,$A179-WEEKDAY($A179,3)))</f>
        <v/>
      </c>
      <c r="R179" s="32">
        <f>IF(OR($A179="",$C179=""),"",IFERROR(SUMIFS('Datos diario'!$F:$F,'Datos diario'!$C:$C,$C179,'Datos diario'!$B:$B,$A179-WEEKDAY($A179,3))/(SUMIFS('Datos diario'!$F:$F,'Datos diario'!$C:$C,$C179,'Datos diario'!$B:$B,$A179-WEEKDAY($A179,3))+SUMIFS('Datos diario'!$G:$G,'Datos diario'!$C:$C,$C179,'Datos diario'!$B:$B,$A179-WEEKDAY($A179,3))),""))</f>
        <v/>
      </c>
      <c r="S179" s="31">
        <f>IF(OR($A179="",$C179=""),"",SUMIFS('Datos diario'!$I:$I,'Datos diario'!$C:$C,$C179,'Datos diario'!$B:$B,$A179-WEEKDAY($A179,3)))</f>
        <v/>
      </c>
      <c r="T179" s="31">
        <f>IF(OR($A179="",$C179=""),"",SUMIFS('Datos diario'!$P:$P,'Datos diario'!$C:$C,$C179,'Datos diario'!$B:$B,$A179-WEEKDAY($A179,3)))</f>
        <v/>
      </c>
      <c r="U179" s="31">
        <f>IF(OR($A179="",$C179=""),"",ROUND(SUMIFS('Datos diario'!$U:$U,'Datos diario'!$C:$C,$C179,'Datos diario'!$B:$B,$A179-WEEKDAY($A179,3)),0))</f>
        <v/>
      </c>
      <c r="V179" s="30">
        <f>IF(OR($A179="",$C179=""),"",IFERROR(ROUND(AVERAGEIFS('Datos diario'!$M:$M,'Datos diario'!$C:$C,$C179,'Datos diario'!$B:$B,$A179-WEEKDAY($A179,3),'Datos diario'!$L:$L,"&gt;0"),1),""))</f>
        <v/>
      </c>
    </row>
    <row r="180">
      <c r="A180" s="26" t="n"/>
      <c r="B180" s="22" t="n"/>
      <c r="C180" s="23">
        <f>IF(B180="","",IFERROR(INDEX(Perfil!$B$6:$B$17,MATCH(B180,Perfil!$A$6:$A$17,0)),""))</f>
        <v/>
      </c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30">
        <f>IF(COUNT(D180:K180)=0,"",AVERAGE(D180:K180))</f>
        <v/>
      </c>
      <c r="M180" s="22" t="n"/>
      <c r="N180" s="22" t="n"/>
      <c r="O180" s="22" t="n"/>
      <c r="P180" s="22" t="n"/>
      <c r="Q180" s="31">
        <f>IF(OR($A180="",$C180=""),"",SUMIFS('Datos diario'!$E:$E,'Datos diario'!$C:$C,$C180,'Datos diario'!$B:$B,$A180-WEEKDAY($A180,3)))</f>
        <v/>
      </c>
      <c r="R180" s="32">
        <f>IF(OR($A180="",$C180=""),"",IFERROR(SUMIFS('Datos diario'!$F:$F,'Datos diario'!$C:$C,$C180,'Datos diario'!$B:$B,$A180-WEEKDAY($A180,3))/(SUMIFS('Datos diario'!$F:$F,'Datos diario'!$C:$C,$C180,'Datos diario'!$B:$B,$A180-WEEKDAY($A180,3))+SUMIFS('Datos diario'!$G:$G,'Datos diario'!$C:$C,$C180,'Datos diario'!$B:$B,$A180-WEEKDAY($A180,3))),""))</f>
        <v/>
      </c>
      <c r="S180" s="31">
        <f>IF(OR($A180="",$C180=""),"",SUMIFS('Datos diario'!$I:$I,'Datos diario'!$C:$C,$C180,'Datos diario'!$B:$B,$A180-WEEKDAY($A180,3)))</f>
        <v/>
      </c>
      <c r="T180" s="31">
        <f>IF(OR($A180="",$C180=""),"",SUMIFS('Datos diario'!$P:$P,'Datos diario'!$C:$C,$C180,'Datos diario'!$B:$B,$A180-WEEKDAY($A180,3)))</f>
        <v/>
      </c>
      <c r="U180" s="31">
        <f>IF(OR($A180="",$C180=""),"",ROUND(SUMIFS('Datos diario'!$U:$U,'Datos diario'!$C:$C,$C180,'Datos diario'!$B:$B,$A180-WEEKDAY($A180,3)),0))</f>
        <v/>
      </c>
      <c r="V180" s="30">
        <f>IF(OR($A180="",$C180=""),"",IFERROR(ROUND(AVERAGEIFS('Datos diario'!$M:$M,'Datos diario'!$C:$C,$C180,'Datos diario'!$B:$B,$A180-WEEKDAY($A180,3),'Datos diario'!$L:$L,"&gt;0"),1),""))</f>
        <v/>
      </c>
    </row>
    <row r="181">
      <c r="A181" s="26" t="n"/>
      <c r="B181" s="22" t="n"/>
      <c r="C181" s="23">
        <f>IF(B181="","",IFERROR(INDEX(Perfil!$B$6:$B$17,MATCH(B181,Perfil!$A$6:$A$17,0)),""))</f>
        <v/>
      </c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30">
        <f>IF(COUNT(D181:K181)=0,"",AVERAGE(D181:K181))</f>
        <v/>
      </c>
      <c r="M181" s="22" t="n"/>
      <c r="N181" s="22" t="n"/>
      <c r="O181" s="22" t="n"/>
      <c r="P181" s="22" t="n"/>
      <c r="Q181" s="31">
        <f>IF(OR($A181="",$C181=""),"",SUMIFS('Datos diario'!$E:$E,'Datos diario'!$C:$C,$C181,'Datos diario'!$B:$B,$A181-WEEKDAY($A181,3)))</f>
        <v/>
      </c>
      <c r="R181" s="32">
        <f>IF(OR($A181="",$C181=""),"",IFERROR(SUMIFS('Datos diario'!$F:$F,'Datos diario'!$C:$C,$C181,'Datos diario'!$B:$B,$A181-WEEKDAY($A181,3))/(SUMIFS('Datos diario'!$F:$F,'Datos diario'!$C:$C,$C181,'Datos diario'!$B:$B,$A181-WEEKDAY($A181,3))+SUMIFS('Datos diario'!$G:$G,'Datos diario'!$C:$C,$C181,'Datos diario'!$B:$B,$A181-WEEKDAY($A181,3))),""))</f>
        <v/>
      </c>
      <c r="S181" s="31">
        <f>IF(OR($A181="",$C181=""),"",SUMIFS('Datos diario'!$I:$I,'Datos diario'!$C:$C,$C181,'Datos diario'!$B:$B,$A181-WEEKDAY($A181,3)))</f>
        <v/>
      </c>
      <c r="T181" s="31">
        <f>IF(OR($A181="",$C181=""),"",SUMIFS('Datos diario'!$P:$P,'Datos diario'!$C:$C,$C181,'Datos diario'!$B:$B,$A181-WEEKDAY($A181,3)))</f>
        <v/>
      </c>
      <c r="U181" s="31">
        <f>IF(OR($A181="",$C181=""),"",ROUND(SUMIFS('Datos diario'!$U:$U,'Datos diario'!$C:$C,$C181,'Datos diario'!$B:$B,$A181-WEEKDAY($A181,3)),0))</f>
        <v/>
      </c>
      <c r="V181" s="30">
        <f>IF(OR($A181="",$C181=""),"",IFERROR(ROUND(AVERAGEIFS('Datos diario'!$M:$M,'Datos diario'!$C:$C,$C181,'Datos diario'!$B:$B,$A181-WEEKDAY($A181,3),'Datos diario'!$L:$L,"&gt;0"),1),""))</f>
        <v/>
      </c>
    </row>
    <row r="182">
      <c r="A182" s="26" t="n"/>
      <c r="B182" s="22" t="n"/>
      <c r="C182" s="23">
        <f>IF(B182="","",IFERROR(INDEX(Perfil!$B$6:$B$17,MATCH(B182,Perfil!$A$6:$A$17,0)),""))</f>
        <v/>
      </c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30">
        <f>IF(COUNT(D182:K182)=0,"",AVERAGE(D182:K182))</f>
        <v/>
      </c>
      <c r="M182" s="22" t="n"/>
      <c r="N182" s="22" t="n"/>
      <c r="O182" s="22" t="n"/>
      <c r="P182" s="22" t="n"/>
      <c r="Q182" s="31">
        <f>IF(OR($A182="",$C182=""),"",SUMIFS('Datos diario'!$E:$E,'Datos diario'!$C:$C,$C182,'Datos diario'!$B:$B,$A182-WEEKDAY($A182,3)))</f>
        <v/>
      </c>
      <c r="R182" s="32">
        <f>IF(OR($A182="",$C182=""),"",IFERROR(SUMIFS('Datos diario'!$F:$F,'Datos diario'!$C:$C,$C182,'Datos diario'!$B:$B,$A182-WEEKDAY($A182,3))/(SUMIFS('Datos diario'!$F:$F,'Datos diario'!$C:$C,$C182,'Datos diario'!$B:$B,$A182-WEEKDAY($A182,3))+SUMIFS('Datos diario'!$G:$G,'Datos diario'!$C:$C,$C182,'Datos diario'!$B:$B,$A182-WEEKDAY($A182,3))),""))</f>
        <v/>
      </c>
      <c r="S182" s="31">
        <f>IF(OR($A182="",$C182=""),"",SUMIFS('Datos diario'!$I:$I,'Datos diario'!$C:$C,$C182,'Datos diario'!$B:$B,$A182-WEEKDAY($A182,3)))</f>
        <v/>
      </c>
      <c r="T182" s="31">
        <f>IF(OR($A182="",$C182=""),"",SUMIFS('Datos diario'!$P:$P,'Datos diario'!$C:$C,$C182,'Datos diario'!$B:$B,$A182-WEEKDAY($A182,3)))</f>
        <v/>
      </c>
      <c r="U182" s="31">
        <f>IF(OR($A182="",$C182=""),"",ROUND(SUMIFS('Datos diario'!$U:$U,'Datos diario'!$C:$C,$C182,'Datos diario'!$B:$B,$A182-WEEKDAY($A182,3)),0))</f>
        <v/>
      </c>
      <c r="V182" s="30">
        <f>IF(OR($A182="",$C182=""),"",IFERROR(ROUND(AVERAGEIFS('Datos diario'!$M:$M,'Datos diario'!$C:$C,$C182,'Datos diario'!$B:$B,$A182-WEEKDAY($A182,3),'Datos diario'!$L:$L,"&gt;0"),1),""))</f>
        <v/>
      </c>
    </row>
    <row r="183">
      <c r="A183" s="26" t="n"/>
      <c r="B183" s="22" t="n"/>
      <c r="C183" s="23">
        <f>IF(B183="","",IFERROR(INDEX(Perfil!$B$6:$B$17,MATCH(B183,Perfil!$A$6:$A$17,0)),""))</f>
        <v/>
      </c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30">
        <f>IF(COUNT(D183:K183)=0,"",AVERAGE(D183:K183))</f>
        <v/>
      </c>
      <c r="M183" s="22" t="n"/>
      <c r="N183" s="22" t="n"/>
      <c r="O183" s="22" t="n"/>
      <c r="P183" s="22" t="n"/>
      <c r="Q183" s="31">
        <f>IF(OR($A183="",$C183=""),"",SUMIFS('Datos diario'!$E:$E,'Datos diario'!$C:$C,$C183,'Datos diario'!$B:$B,$A183-WEEKDAY($A183,3)))</f>
        <v/>
      </c>
      <c r="R183" s="32">
        <f>IF(OR($A183="",$C183=""),"",IFERROR(SUMIFS('Datos diario'!$F:$F,'Datos diario'!$C:$C,$C183,'Datos diario'!$B:$B,$A183-WEEKDAY($A183,3))/(SUMIFS('Datos diario'!$F:$F,'Datos diario'!$C:$C,$C183,'Datos diario'!$B:$B,$A183-WEEKDAY($A183,3))+SUMIFS('Datos diario'!$G:$G,'Datos diario'!$C:$C,$C183,'Datos diario'!$B:$B,$A183-WEEKDAY($A183,3))),""))</f>
        <v/>
      </c>
      <c r="S183" s="31">
        <f>IF(OR($A183="",$C183=""),"",SUMIFS('Datos diario'!$I:$I,'Datos diario'!$C:$C,$C183,'Datos diario'!$B:$B,$A183-WEEKDAY($A183,3)))</f>
        <v/>
      </c>
      <c r="T183" s="31">
        <f>IF(OR($A183="",$C183=""),"",SUMIFS('Datos diario'!$P:$P,'Datos diario'!$C:$C,$C183,'Datos diario'!$B:$B,$A183-WEEKDAY($A183,3)))</f>
        <v/>
      </c>
      <c r="U183" s="31">
        <f>IF(OR($A183="",$C183=""),"",ROUND(SUMIFS('Datos diario'!$U:$U,'Datos diario'!$C:$C,$C183,'Datos diario'!$B:$B,$A183-WEEKDAY($A183,3)),0))</f>
        <v/>
      </c>
      <c r="V183" s="30">
        <f>IF(OR($A183="",$C183=""),"",IFERROR(ROUND(AVERAGEIFS('Datos diario'!$M:$M,'Datos diario'!$C:$C,$C183,'Datos diario'!$B:$B,$A183-WEEKDAY($A183,3),'Datos diario'!$L:$L,"&gt;0"),1),""))</f>
        <v/>
      </c>
    </row>
    <row r="184">
      <c r="A184" s="26" t="n"/>
      <c r="B184" s="22" t="n"/>
      <c r="C184" s="23">
        <f>IF(B184="","",IFERROR(INDEX(Perfil!$B$6:$B$17,MATCH(B184,Perfil!$A$6:$A$17,0)),""))</f>
        <v/>
      </c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30">
        <f>IF(COUNT(D184:K184)=0,"",AVERAGE(D184:K184))</f>
        <v/>
      </c>
      <c r="M184" s="22" t="n"/>
      <c r="N184" s="22" t="n"/>
      <c r="O184" s="22" t="n"/>
      <c r="P184" s="22" t="n"/>
      <c r="Q184" s="31">
        <f>IF(OR($A184="",$C184=""),"",SUMIFS('Datos diario'!$E:$E,'Datos diario'!$C:$C,$C184,'Datos diario'!$B:$B,$A184-WEEKDAY($A184,3)))</f>
        <v/>
      </c>
      <c r="R184" s="32">
        <f>IF(OR($A184="",$C184=""),"",IFERROR(SUMIFS('Datos diario'!$F:$F,'Datos diario'!$C:$C,$C184,'Datos diario'!$B:$B,$A184-WEEKDAY($A184,3))/(SUMIFS('Datos diario'!$F:$F,'Datos diario'!$C:$C,$C184,'Datos diario'!$B:$B,$A184-WEEKDAY($A184,3))+SUMIFS('Datos diario'!$G:$G,'Datos diario'!$C:$C,$C184,'Datos diario'!$B:$B,$A184-WEEKDAY($A184,3))),""))</f>
        <v/>
      </c>
      <c r="S184" s="31">
        <f>IF(OR($A184="",$C184=""),"",SUMIFS('Datos diario'!$I:$I,'Datos diario'!$C:$C,$C184,'Datos diario'!$B:$B,$A184-WEEKDAY($A184,3)))</f>
        <v/>
      </c>
      <c r="T184" s="31">
        <f>IF(OR($A184="",$C184=""),"",SUMIFS('Datos diario'!$P:$P,'Datos diario'!$C:$C,$C184,'Datos diario'!$B:$B,$A184-WEEKDAY($A184,3)))</f>
        <v/>
      </c>
      <c r="U184" s="31">
        <f>IF(OR($A184="",$C184=""),"",ROUND(SUMIFS('Datos diario'!$U:$U,'Datos diario'!$C:$C,$C184,'Datos diario'!$B:$B,$A184-WEEKDAY($A184,3)),0))</f>
        <v/>
      </c>
      <c r="V184" s="30">
        <f>IF(OR($A184="",$C184=""),"",IFERROR(ROUND(AVERAGEIFS('Datos diario'!$M:$M,'Datos diario'!$C:$C,$C184,'Datos diario'!$B:$B,$A184-WEEKDAY($A184,3),'Datos diario'!$L:$L,"&gt;0"),1),""))</f>
        <v/>
      </c>
    </row>
    <row r="185">
      <c r="A185" s="26" t="n"/>
      <c r="B185" s="22" t="n"/>
      <c r="C185" s="23">
        <f>IF(B185="","",IFERROR(INDEX(Perfil!$B$6:$B$17,MATCH(B185,Perfil!$A$6:$A$17,0)),""))</f>
        <v/>
      </c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30">
        <f>IF(COUNT(D185:K185)=0,"",AVERAGE(D185:K185))</f>
        <v/>
      </c>
      <c r="M185" s="22" t="n"/>
      <c r="N185" s="22" t="n"/>
      <c r="O185" s="22" t="n"/>
      <c r="P185" s="22" t="n"/>
      <c r="Q185" s="31">
        <f>IF(OR($A185="",$C185=""),"",SUMIFS('Datos diario'!$E:$E,'Datos diario'!$C:$C,$C185,'Datos diario'!$B:$B,$A185-WEEKDAY($A185,3)))</f>
        <v/>
      </c>
      <c r="R185" s="32">
        <f>IF(OR($A185="",$C185=""),"",IFERROR(SUMIFS('Datos diario'!$F:$F,'Datos diario'!$C:$C,$C185,'Datos diario'!$B:$B,$A185-WEEKDAY($A185,3))/(SUMIFS('Datos diario'!$F:$F,'Datos diario'!$C:$C,$C185,'Datos diario'!$B:$B,$A185-WEEKDAY($A185,3))+SUMIFS('Datos diario'!$G:$G,'Datos diario'!$C:$C,$C185,'Datos diario'!$B:$B,$A185-WEEKDAY($A185,3))),""))</f>
        <v/>
      </c>
      <c r="S185" s="31">
        <f>IF(OR($A185="",$C185=""),"",SUMIFS('Datos diario'!$I:$I,'Datos diario'!$C:$C,$C185,'Datos diario'!$B:$B,$A185-WEEKDAY($A185,3)))</f>
        <v/>
      </c>
      <c r="T185" s="31">
        <f>IF(OR($A185="",$C185=""),"",SUMIFS('Datos diario'!$P:$P,'Datos diario'!$C:$C,$C185,'Datos diario'!$B:$B,$A185-WEEKDAY($A185,3)))</f>
        <v/>
      </c>
      <c r="U185" s="31">
        <f>IF(OR($A185="",$C185=""),"",ROUND(SUMIFS('Datos diario'!$U:$U,'Datos diario'!$C:$C,$C185,'Datos diario'!$B:$B,$A185-WEEKDAY($A185,3)),0))</f>
        <v/>
      </c>
      <c r="V185" s="30">
        <f>IF(OR($A185="",$C185=""),"",IFERROR(ROUND(AVERAGEIFS('Datos diario'!$M:$M,'Datos diario'!$C:$C,$C185,'Datos diario'!$B:$B,$A185-WEEKDAY($A185,3),'Datos diario'!$L:$L,"&gt;0"),1),""))</f>
        <v/>
      </c>
    </row>
    <row r="186">
      <c r="A186" s="26" t="n"/>
      <c r="B186" s="22" t="n"/>
      <c r="C186" s="23">
        <f>IF(B186="","",IFERROR(INDEX(Perfil!$B$6:$B$17,MATCH(B186,Perfil!$A$6:$A$17,0)),""))</f>
        <v/>
      </c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30">
        <f>IF(COUNT(D186:K186)=0,"",AVERAGE(D186:K186))</f>
        <v/>
      </c>
      <c r="M186" s="22" t="n"/>
      <c r="N186" s="22" t="n"/>
      <c r="O186" s="22" t="n"/>
      <c r="P186" s="22" t="n"/>
      <c r="Q186" s="31">
        <f>IF(OR($A186="",$C186=""),"",SUMIFS('Datos diario'!$E:$E,'Datos diario'!$C:$C,$C186,'Datos diario'!$B:$B,$A186-WEEKDAY($A186,3)))</f>
        <v/>
      </c>
      <c r="R186" s="32">
        <f>IF(OR($A186="",$C186=""),"",IFERROR(SUMIFS('Datos diario'!$F:$F,'Datos diario'!$C:$C,$C186,'Datos diario'!$B:$B,$A186-WEEKDAY($A186,3))/(SUMIFS('Datos diario'!$F:$F,'Datos diario'!$C:$C,$C186,'Datos diario'!$B:$B,$A186-WEEKDAY($A186,3))+SUMIFS('Datos diario'!$G:$G,'Datos diario'!$C:$C,$C186,'Datos diario'!$B:$B,$A186-WEEKDAY($A186,3))),""))</f>
        <v/>
      </c>
      <c r="S186" s="31">
        <f>IF(OR($A186="",$C186=""),"",SUMIFS('Datos diario'!$I:$I,'Datos diario'!$C:$C,$C186,'Datos diario'!$B:$B,$A186-WEEKDAY($A186,3)))</f>
        <v/>
      </c>
      <c r="T186" s="31">
        <f>IF(OR($A186="",$C186=""),"",SUMIFS('Datos diario'!$P:$P,'Datos diario'!$C:$C,$C186,'Datos diario'!$B:$B,$A186-WEEKDAY($A186,3)))</f>
        <v/>
      </c>
      <c r="U186" s="31">
        <f>IF(OR($A186="",$C186=""),"",ROUND(SUMIFS('Datos diario'!$U:$U,'Datos diario'!$C:$C,$C186,'Datos diario'!$B:$B,$A186-WEEKDAY($A186,3)),0))</f>
        <v/>
      </c>
      <c r="V186" s="30">
        <f>IF(OR($A186="",$C186=""),"",IFERROR(ROUND(AVERAGEIFS('Datos diario'!$M:$M,'Datos diario'!$C:$C,$C186,'Datos diario'!$B:$B,$A186-WEEKDAY($A186,3),'Datos diario'!$L:$L,"&gt;0"),1),""))</f>
        <v/>
      </c>
    </row>
    <row r="187">
      <c r="A187" s="26" t="n"/>
      <c r="B187" s="22" t="n"/>
      <c r="C187" s="23">
        <f>IF(B187="","",IFERROR(INDEX(Perfil!$B$6:$B$17,MATCH(B187,Perfil!$A$6:$A$17,0)),""))</f>
        <v/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30">
        <f>IF(COUNT(D187:K187)=0,"",AVERAGE(D187:K187))</f>
        <v/>
      </c>
      <c r="M187" s="22" t="n"/>
      <c r="N187" s="22" t="n"/>
      <c r="O187" s="22" t="n"/>
      <c r="P187" s="22" t="n"/>
      <c r="Q187" s="31">
        <f>IF(OR($A187="",$C187=""),"",SUMIFS('Datos diario'!$E:$E,'Datos diario'!$C:$C,$C187,'Datos diario'!$B:$B,$A187-WEEKDAY($A187,3)))</f>
        <v/>
      </c>
      <c r="R187" s="32">
        <f>IF(OR($A187="",$C187=""),"",IFERROR(SUMIFS('Datos diario'!$F:$F,'Datos diario'!$C:$C,$C187,'Datos diario'!$B:$B,$A187-WEEKDAY($A187,3))/(SUMIFS('Datos diario'!$F:$F,'Datos diario'!$C:$C,$C187,'Datos diario'!$B:$B,$A187-WEEKDAY($A187,3))+SUMIFS('Datos diario'!$G:$G,'Datos diario'!$C:$C,$C187,'Datos diario'!$B:$B,$A187-WEEKDAY($A187,3))),""))</f>
        <v/>
      </c>
      <c r="S187" s="31">
        <f>IF(OR($A187="",$C187=""),"",SUMIFS('Datos diario'!$I:$I,'Datos diario'!$C:$C,$C187,'Datos diario'!$B:$B,$A187-WEEKDAY($A187,3)))</f>
        <v/>
      </c>
      <c r="T187" s="31">
        <f>IF(OR($A187="",$C187=""),"",SUMIFS('Datos diario'!$P:$P,'Datos diario'!$C:$C,$C187,'Datos diario'!$B:$B,$A187-WEEKDAY($A187,3)))</f>
        <v/>
      </c>
      <c r="U187" s="31">
        <f>IF(OR($A187="",$C187=""),"",ROUND(SUMIFS('Datos diario'!$U:$U,'Datos diario'!$C:$C,$C187,'Datos diario'!$B:$B,$A187-WEEKDAY($A187,3)),0))</f>
        <v/>
      </c>
      <c r="V187" s="30">
        <f>IF(OR($A187="",$C187=""),"",IFERROR(ROUND(AVERAGEIFS('Datos diario'!$M:$M,'Datos diario'!$C:$C,$C187,'Datos diario'!$B:$B,$A187-WEEKDAY($A187,3),'Datos diario'!$L:$L,"&gt;0"),1),""))</f>
        <v/>
      </c>
    </row>
    <row r="188">
      <c r="A188" s="26" t="n"/>
      <c r="B188" s="22" t="n"/>
      <c r="C188" s="23">
        <f>IF(B188="","",IFERROR(INDEX(Perfil!$B$6:$B$17,MATCH(B188,Perfil!$A$6:$A$17,0)),""))</f>
        <v/>
      </c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30">
        <f>IF(COUNT(D188:K188)=0,"",AVERAGE(D188:K188))</f>
        <v/>
      </c>
      <c r="M188" s="22" t="n"/>
      <c r="N188" s="22" t="n"/>
      <c r="O188" s="22" t="n"/>
      <c r="P188" s="22" t="n"/>
      <c r="Q188" s="31">
        <f>IF(OR($A188="",$C188=""),"",SUMIFS('Datos diario'!$E:$E,'Datos diario'!$C:$C,$C188,'Datos diario'!$B:$B,$A188-WEEKDAY($A188,3)))</f>
        <v/>
      </c>
      <c r="R188" s="32">
        <f>IF(OR($A188="",$C188=""),"",IFERROR(SUMIFS('Datos diario'!$F:$F,'Datos diario'!$C:$C,$C188,'Datos diario'!$B:$B,$A188-WEEKDAY($A188,3))/(SUMIFS('Datos diario'!$F:$F,'Datos diario'!$C:$C,$C188,'Datos diario'!$B:$B,$A188-WEEKDAY($A188,3))+SUMIFS('Datos diario'!$G:$G,'Datos diario'!$C:$C,$C188,'Datos diario'!$B:$B,$A188-WEEKDAY($A188,3))),""))</f>
        <v/>
      </c>
      <c r="S188" s="31">
        <f>IF(OR($A188="",$C188=""),"",SUMIFS('Datos diario'!$I:$I,'Datos diario'!$C:$C,$C188,'Datos diario'!$B:$B,$A188-WEEKDAY($A188,3)))</f>
        <v/>
      </c>
      <c r="T188" s="31">
        <f>IF(OR($A188="",$C188=""),"",SUMIFS('Datos diario'!$P:$P,'Datos diario'!$C:$C,$C188,'Datos diario'!$B:$B,$A188-WEEKDAY($A188,3)))</f>
        <v/>
      </c>
      <c r="U188" s="31">
        <f>IF(OR($A188="",$C188=""),"",ROUND(SUMIFS('Datos diario'!$U:$U,'Datos diario'!$C:$C,$C188,'Datos diario'!$B:$B,$A188-WEEKDAY($A188,3)),0))</f>
        <v/>
      </c>
      <c r="V188" s="30">
        <f>IF(OR($A188="",$C188=""),"",IFERROR(ROUND(AVERAGEIFS('Datos diario'!$M:$M,'Datos diario'!$C:$C,$C188,'Datos diario'!$B:$B,$A188-WEEKDAY($A188,3),'Datos diario'!$L:$L,"&gt;0"),1),""))</f>
        <v/>
      </c>
    </row>
    <row r="189">
      <c r="A189" s="26" t="n"/>
      <c r="B189" s="22" t="n"/>
      <c r="C189" s="23">
        <f>IF(B189="","",IFERROR(INDEX(Perfil!$B$6:$B$17,MATCH(B189,Perfil!$A$6:$A$17,0)),""))</f>
        <v/>
      </c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30">
        <f>IF(COUNT(D189:K189)=0,"",AVERAGE(D189:K189))</f>
        <v/>
      </c>
      <c r="M189" s="22" t="n"/>
      <c r="N189" s="22" t="n"/>
      <c r="O189" s="22" t="n"/>
      <c r="P189" s="22" t="n"/>
      <c r="Q189" s="31">
        <f>IF(OR($A189="",$C189=""),"",SUMIFS('Datos diario'!$E:$E,'Datos diario'!$C:$C,$C189,'Datos diario'!$B:$B,$A189-WEEKDAY($A189,3)))</f>
        <v/>
      </c>
      <c r="R189" s="32">
        <f>IF(OR($A189="",$C189=""),"",IFERROR(SUMIFS('Datos diario'!$F:$F,'Datos diario'!$C:$C,$C189,'Datos diario'!$B:$B,$A189-WEEKDAY($A189,3))/(SUMIFS('Datos diario'!$F:$F,'Datos diario'!$C:$C,$C189,'Datos diario'!$B:$B,$A189-WEEKDAY($A189,3))+SUMIFS('Datos diario'!$G:$G,'Datos diario'!$C:$C,$C189,'Datos diario'!$B:$B,$A189-WEEKDAY($A189,3))),""))</f>
        <v/>
      </c>
      <c r="S189" s="31">
        <f>IF(OR($A189="",$C189=""),"",SUMIFS('Datos diario'!$I:$I,'Datos diario'!$C:$C,$C189,'Datos diario'!$B:$B,$A189-WEEKDAY($A189,3)))</f>
        <v/>
      </c>
      <c r="T189" s="31">
        <f>IF(OR($A189="",$C189=""),"",SUMIFS('Datos diario'!$P:$P,'Datos diario'!$C:$C,$C189,'Datos diario'!$B:$B,$A189-WEEKDAY($A189,3)))</f>
        <v/>
      </c>
      <c r="U189" s="31">
        <f>IF(OR($A189="",$C189=""),"",ROUND(SUMIFS('Datos diario'!$U:$U,'Datos diario'!$C:$C,$C189,'Datos diario'!$B:$B,$A189-WEEKDAY($A189,3)),0))</f>
        <v/>
      </c>
      <c r="V189" s="30">
        <f>IF(OR($A189="",$C189=""),"",IFERROR(ROUND(AVERAGEIFS('Datos diario'!$M:$M,'Datos diario'!$C:$C,$C189,'Datos diario'!$B:$B,$A189-WEEKDAY($A189,3),'Datos diario'!$L:$L,"&gt;0"),1),""))</f>
        <v/>
      </c>
    </row>
    <row r="190">
      <c r="A190" s="26" t="n"/>
      <c r="B190" s="22" t="n"/>
      <c r="C190" s="23">
        <f>IF(B190="","",IFERROR(INDEX(Perfil!$B$6:$B$17,MATCH(B190,Perfil!$A$6:$A$17,0)),""))</f>
        <v/>
      </c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30">
        <f>IF(COUNT(D190:K190)=0,"",AVERAGE(D190:K190))</f>
        <v/>
      </c>
      <c r="M190" s="22" t="n"/>
      <c r="N190" s="22" t="n"/>
      <c r="O190" s="22" t="n"/>
      <c r="P190" s="22" t="n"/>
      <c r="Q190" s="31">
        <f>IF(OR($A190="",$C190=""),"",SUMIFS('Datos diario'!$E:$E,'Datos diario'!$C:$C,$C190,'Datos diario'!$B:$B,$A190-WEEKDAY($A190,3)))</f>
        <v/>
      </c>
      <c r="R190" s="32">
        <f>IF(OR($A190="",$C190=""),"",IFERROR(SUMIFS('Datos diario'!$F:$F,'Datos diario'!$C:$C,$C190,'Datos diario'!$B:$B,$A190-WEEKDAY($A190,3))/(SUMIFS('Datos diario'!$F:$F,'Datos diario'!$C:$C,$C190,'Datos diario'!$B:$B,$A190-WEEKDAY($A190,3))+SUMIFS('Datos diario'!$G:$G,'Datos diario'!$C:$C,$C190,'Datos diario'!$B:$B,$A190-WEEKDAY($A190,3))),""))</f>
        <v/>
      </c>
      <c r="S190" s="31">
        <f>IF(OR($A190="",$C190=""),"",SUMIFS('Datos diario'!$I:$I,'Datos diario'!$C:$C,$C190,'Datos diario'!$B:$B,$A190-WEEKDAY($A190,3)))</f>
        <v/>
      </c>
      <c r="T190" s="31">
        <f>IF(OR($A190="",$C190=""),"",SUMIFS('Datos diario'!$P:$P,'Datos diario'!$C:$C,$C190,'Datos diario'!$B:$B,$A190-WEEKDAY($A190,3)))</f>
        <v/>
      </c>
      <c r="U190" s="31">
        <f>IF(OR($A190="",$C190=""),"",ROUND(SUMIFS('Datos diario'!$U:$U,'Datos diario'!$C:$C,$C190,'Datos diario'!$B:$B,$A190-WEEKDAY($A190,3)),0))</f>
        <v/>
      </c>
      <c r="V190" s="30">
        <f>IF(OR($A190="",$C190=""),"",IFERROR(ROUND(AVERAGEIFS('Datos diario'!$M:$M,'Datos diario'!$C:$C,$C190,'Datos diario'!$B:$B,$A190-WEEKDAY($A190,3),'Datos diario'!$L:$L,"&gt;0"),1),""))</f>
        <v/>
      </c>
    </row>
    <row r="191">
      <c r="A191" s="26" t="n"/>
      <c r="B191" s="22" t="n"/>
      <c r="C191" s="23">
        <f>IF(B191="","",IFERROR(INDEX(Perfil!$B$6:$B$17,MATCH(B191,Perfil!$A$6:$A$17,0)),""))</f>
        <v/>
      </c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30">
        <f>IF(COUNT(D191:K191)=0,"",AVERAGE(D191:K191))</f>
        <v/>
      </c>
      <c r="M191" s="22" t="n"/>
      <c r="N191" s="22" t="n"/>
      <c r="O191" s="22" t="n"/>
      <c r="P191" s="22" t="n"/>
      <c r="Q191" s="31">
        <f>IF(OR($A191="",$C191=""),"",SUMIFS('Datos diario'!$E:$E,'Datos diario'!$C:$C,$C191,'Datos diario'!$B:$B,$A191-WEEKDAY($A191,3)))</f>
        <v/>
      </c>
      <c r="R191" s="32">
        <f>IF(OR($A191="",$C191=""),"",IFERROR(SUMIFS('Datos diario'!$F:$F,'Datos diario'!$C:$C,$C191,'Datos diario'!$B:$B,$A191-WEEKDAY($A191,3))/(SUMIFS('Datos diario'!$F:$F,'Datos diario'!$C:$C,$C191,'Datos diario'!$B:$B,$A191-WEEKDAY($A191,3))+SUMIFS('Datos diario'!$G:$G,'Datos diario'!$C:$C,$C191,'Datos diario'!$B:$B,$A191-WEEKDAY($A191,3))),""))</f>
        <v/>
      </c>
      <c r="S191" s="31">
        <f>IF(OR($A191="",$C191=""),"",SUMIFS('Datos diario'!$I:$I,'Datos diario'!$C:$C,$C191,'Datos diario'!$B:$B,$A191-WEEKDAY($A191,3)))</f>
        <v/>
      </c>
      <c r="T191" s="31">
        <f>IF(OR($A191="",$C191=""),"",SUMIFS('Datos diario'!$P:$P,'Datos diario'!$C:$C,$C191,'Datos diario'!$B:$B,$A191-WEEKDAY($A191,3)))</f>
        <v/>
      </c>
      <c r="U191" s="31">
        <f>IF(OR($A191="",$C191=""),"",ROUND(SUMIFS('Datos diario'!$U:$U,'Datos diario'!$C:$C,$C191,'Datos diario'!$B:$B,$A191-WEEKDAY($A191,3)),0))</f>
        <v/>
      </c>
      <c r="V191" s="30">
        <f>IF(OR($A191="",$C191=""),"",IFERROR(ROUND(AVERAGEIFS('Datos diario'!$M:$M,'Datos diario'!$C:$C,$C191,'Datos diario'!$B:$B,$A191-WEEKDAY($A191,3),'Datos diario'!$L:$L,"&gt;0"),1),""))</f>
        <v/>
      </c>
    </row>
    <row r="192">
      <c r="A192" s="26" t="n"/>
      <c r="B192" s="22" t="n"/>
      <c r="C192" s="23">
        <f>IF(B192="","",IFERROR(INDEX(Perfil!$B$6:$B$17,MATCH(B192,Perfil!$A$6:$A$17,0)),""))</f>
        <v/>
      </c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30">
        <f>IF(COUNT(D192:K192)=0,"",AVERAGE(D192:K192))</f>
        <v/>
      </c>
      <c r="M192" s="22" t="n"/>
      <c r="N192" s="22" t="n"/>
      <c r="O192" s="22" t="n"/>
      <c r="P192" s="22" t="n"/>
      <c r="Q192" s="31">
        <f>IF(OR($A192="",$C192=""),"",SUMIFS('Datos diario'!$E:$E,'Datos diario'!$C:$C,$C192,'Datos diario'!$B:$B,$A192-WEEKDAY($A192,3)))</f>
        <v/>
      </c>
      <c r="R192" s="32">
        <f>IF(OR($A192="",$C192=""),"",IFERROR(SUMIFS('Datos diario'!$F:$F,'Datos diario'!$C:$C,$C192,'Datos diario'!$B:$B,$A192-WEEKDAY($A192,3))/(SUMIFS('Datos diario'!$F:$F,'Datos diario'!$C:$C,$C192,'Datos diario'!$B:$B,$A192-WEEKDAY($A192,3))+SUMIFS('Datos diario'!$G:$G,'Datos diario'!$C:$C,$C192,'Datos diario'!$B:$B,$A192-WEEKDAY($A192,3))),""))</f>
        <v/>
      </c>
      <c r="S192" s="31">
        <f>IF(OR($A192="",$C192=""),"",SUMIFS('Datos diario'!$I:$I,'Datos diario'!$C:$C,$C192,'Datos diario'!$B:$B,$A192-WEEKDAY($A192,3)))</f>
        <v/>
      </c>
      <c r="T192" s="31">
        <f>IF(OR($A192="",$C192=""),"",SUMIFS('Datos diario'!$P:$P,'Datos diario'!$C:$C,$C192,'Datos diario'!$B:$B,$A192-WEEKDAY($A192,3)))</f>
        <v/>
      </c>
      <c r="U192" s="31">
        <f>IF(OR($A192="",$C192=""),"",ROUND(SUMIFS('Datos diario'!$U:$U,'Datos diario'!$C:$C,$C192,'Datos diario'!$B:$B,$A192-WEEKDAY($A192,3)),0))</f>
        <v/>
      </c>
      <c r="V192" s="30">
        <f>IF(OR($A192="",$C192=""),"",IFERROR(ROUND(AVERAGEIFS('Datos diario'!$M:$M,'Datos diario'!$C:$C,$C192,'Datos diario'!$B:$B,$A192-WEEKDAY($A192,3),'Datos diario'!$L:$L,"&gt;0"),1),""))</f>
        <v/>
      </c>
    </row>
    <row r="193">
      <c r="A193" s="26" t="n"/>
      <c r="B193" s="22" t="n"/>
      <c r="C193" s="23">
        <f>IF(B193="","",IFERROR(INDEX(Perfil!$B$6:$B$17,MATCH(B193,Perfil!$A$6:$A$17,0)),""))</f>
        <v/>
      </c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30">
        <f>IF(COUNT(D193:K193)=0,"",AVERAGE(D193:K193))</f>
        <v/>
      </c>
      <c r="M193" s="22" t="n"/>
      <c r="N193" s="22" t="n"/>
      <c r="O193" s="22" t="n"/>
      <c r="P193" s="22" t="n"/>
      <c r="Q193" s="31">
        <f>IF(OR($A193="",$C193=""),"",SUMIFS('Datos diario'!$E:$E,'Datos diario'!$C:$C,$C193,'Datos diario'!$B:$B,$A193-WEEKDAY($A193,3)))</f>
        <v/>
      </c>
      <c r="R193" s="32">
        <f>IF(OR($A193="",$C193=""),"",IFERROR(SUMIFS('Datos diario'!$F:$F,'Datos diario'!$C:$C,$C193,'Datos diario'!$B:$B,$A193-WEEKDAY($A193,3))/(SUMIFS('Datos diario'!$F:$F,'Datos diario'!$C:$C,$C193,'Datos diario'!$B:$B,$A193-WEEKDAY($A193,3))+SUMIFS('Datos diario'!$G:$G,'Datos diario'!$C:$C,$C193,'Datos diario'!$B:$B,$A193-WEEKDAY($A193,3))),""))</f>
        <v/>
      </c>
      <c r="S193" s="31">
        <f>IF(OR($A193="",$C193=""),"",SUMIFS('Datos diario'!$I:$I,'Datos diario'!$C:$C,$C193,'Datos diario'!$B:$B,$A193-WEEKDAY($A193,3)))</f>
        <v/>
      </c>
      <c r="T193" s="31">
        <f>IF(OR($A193="",$C193=""),"",SUMIFS('Datos diario'!$P:$P,'Datos diario'!$C:$C,$C193,'Datos diario'!$B:$B,$A193-WEEKDAY($A193,3)))</f>
        <v/>
      </c>
      <c r="U193" s="31">
        <f>IF(OR($A193="",$C193=""),"",ROUND(SUMIFS('Datos diario'!$U:$U,'Datos diario'!$C:$C,$C193,'Datos diario'!$B:$B,$A193-WEEKDAY($A193,3)),0))</f>
        <v/>
      </c>
      <c r="V193" s="30">
        <f>IF(OR($A193="",$C193=""),"",IFERROR(ROUND(AVERAGEIFS('Datos diario'!$M:$M,'Datos diario'!$C:$C,$C193,'Datos diario'!$B:$B,$A193-WEEKDAY($A193,3),'Datos diario'!$L:$L,"&gt;0"),1),""))</f>
        <v/>
      </c>
    </row>
    <row r="194">
      <c r="A194" s="26" t="n"/>
      <c r="B194" s="22" t="n"/>
      <c r="C194" s="23">
        <f>IF(B194="","",IFERROR(INDEX(Perfil!$B$6:$B$17,MATCH(B194,Perfil!$A$6:$A$17,0)),""))</f>
        <v/>
      </c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30">
        <f>IF(COUNT(D194:K194)=0,"",AVERAGE(D194:K194))</f>
        <v/>
      </c>
      <c r="M194" s="22" t="n"/>
      <c r="N194" s="22" t="n"/>
      <c r="O194" s="22" t="n"/>
      <c r="P194" s="22" t="n"/>
      <c r="Q194" s="31">
        <f>IF(OR($A194="",$C194=""),"",SUMIFS('Datos diario'!$E:$E,'Datos diario'!$C:$C,$C194,'Datos diario'!$B:$B,$A194-WEEKDAY($A194,3)))</f>
        <v/>
      </c>
      <c r="R194" s="32">
        <f>IF(OR($A194="",$C194=""),"",IFERROR(SUMIFS('Datos diario'!$F:$F,'Datos diario'!$C:$C,$C194,'Datos diario'!$B:$B,$A194-WEEKDAY($A194,3))/(SUMIFS('Datos diario'!$F:$F,'Datos diario'!$C:$C,$C194,'Datos diario'!$B:$B,$A194-WEEKDAY($A194,3))+SUMIFS('Datos diario'!$G:$G,'Datos diario'!$C:$C,$C194,'Datos diario'!$B:$B,$A194-WEEKDAY($A194,3))),""))</f>
        <v/>
      </c>
      <c r="S194" s="31">
        <f>IF(OR($A194="",$C194=""),"",SUMIFS('Datos diario'!$I:$I,'Datos diario'!$C:$C,$C194,'Datos diario'!$B:$B,$A194-WEEKDAY($A194,3)))</f>
        <v/>
      </c>
      <c r="T194" s="31">
        <f>IF(OR($A194="",$C194=""),"",SUMIFS('Datos diario'!$P:$P,'Datos diario'!$C:$C,$C194,'Datos diario'!$B:$B,$A194-WEEKDAY($A194,3)))</f>
        <v/>
      </c>
      <c r="U194" s="31">
        <f>IF(OR($A194="",$C194=""),"",ROUND(SUMIFS('Datos diario'!$U:$U,'Datos diario'!$C:$C,$C194,'Datos diario'!$B:$B,$A194-WEEKDAY($A194,3)),0))</f>
        <v/>
      </c>
      <c r="V194" s="30">
        <f>IF(OR($A194="",$C194=""),"",IFERROR(ROUND(AVERAGEIFS('Datos diario'!$M:$M,'Datos diario'!$C:$C,$C194,'Datos diario'!$B:$B,$A194-WEEKDAY($A194,3),'Datos diario'!$L:$L,"&gt;0"),1),""))</f>
        <v/>
      </c>
    </row>
    <row r="195">
      <c r="A195" s="26" t="n"/>
      <c r="B195" s="22" t="n"/>
      <c r="C195" s="23">
        <f>IF(B195="","",IFERROR(INDEX(Perfil!$B$6:$B$17,MATCH(B195,Perfil!$A$6:$A$17,0)),""))</f>
        <v/>
      </c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30">
        <f>IF(COUNT(D195:K195)=0,"",AVERAGE(D195:K195))</f>
        <v/>
      </c>
      <c r="M195" s="22" t="n"/>
      <c r="N195" s="22" t="n"/>
      <c r="O195" s="22" t="n"/>
      <c r="P195" s="22" t="n"/>
      <c r="Q195" s="31">
        <f>IF(OR($A195="",$C195=""),"",SUMIFS('Datos diario'!$E:$E,'Datos diario'!$C:$C,$C195,'Datos diario'!$B:$B,$A195-WEEKDAY($A195,3)))</f>
        <v/>
      </c>
      <c r="R195" s="32">
        <f>IF(OR($A195="",$C195=""),"",IFERROR(SUMIFS('Datos diario'!$F:$F,'Datos diario'!$C:$C,$C195,'Datos diario'!$B:$B,$A195-WEEKDAY($A195,3))/(SUMIFS('Datos diario'!$F:$F,'Datos diario'!$C:$C,$C195,'Datos diario'!$B:$B,$A195-WEEKDAY($A195,3))+SUMIFS('Datos diario'!$G:$G,'Datos diario'!$C:$C,$C195,'Datos diario'!$B:$B,$A195-WEEKDAY($A195,3))),""))</f>
        <v/>
      </c>
      <c r="S195" s="31">
        <f>IF(OR($A195="",$C195=""),"",SUMIFS('Datos diario'!$I:$I,'Datos diario'!$C:$C,$C195,'Datos diario'!$B:$B,$A195-WEEKDAY($A195,3)))</f>
        <v/>
      </c>
      <c r="T195" s="31">
        <f>IF(OR($A195="",$C195=""),"",SUMIFS('Datos diario'!$P:$P,'Datos diario'!$C:$C,$C195,'Datos diario'!$B:$B,$A195-WEEKDAY($A195,3)))</f>
        <v/>
      </c>
      <c r="U195" s="31">
        <f>IF(OR($A195="",$C195=""),"",ROUND(SUMIFS('Datos diario'!$U:$U,'Datos diario'!$C:$C,$C195,'Datos diario'!$B:$B,$A195-WEEKDAY($A195,3)),0))</f>
        <v/>
      </c>
      <c r="V195" s="30">
        <f>IF(OR($A195="",$C195=""),"",IFERROR(ROUND(AVERAGEIFS('Datos diario'!$M:$M,'Datos diario'!$C:$C,$C195,'Datos diario'!$B:$B,$A195-WEEKDAY($A195,3),'Datos diario'!$L:$L,"&gt;0"),1),""))</f>
        <v/>
      </c>
    </row>
    <row r="196">
      <c r="A196" s="26" t="n"/>
      <c r="B196" s="22" t="n"/>
      <c r="C196" s="23">
        <f>IF(B196="","",IFERROR(INDEX(Perfil!$B$6:$B$17,MATCH(B196,Perfil!$A$6:$A$17,0)),""))</f>
        <v/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30">
        <f>IF(COUNT(D196:K196)=0,"",AVERAGE(D196:K196))</f>
        <v/>
      </c>
      <c r="M196" s="22" t="n"/>
      <c r="N196" s="22" t="n"/>
      <c r="O196" s="22" t="n"/>
      <c r="P196" s="22" t="n"/>
      <c r="Q196" s="31">
        <f>IF(OR($A196="",$C196=""),"",SUMIFS('Datos diario'!$E:$E,'Datos diario'!$C:$C,$C196,'Datos diario'!$B:$B,$A196-WEEKDAY($A196,3)))</f>
        <v/>
      </c>
      <c r="R196" s="32">
        <f>IF(OR($A196="",$C196=""),"",IFERROR(SUMIFS('Datos diario'!$F:$F,'Datos diario'!$C:$C,$C196,'Datos diario'!$B:$B,$A196-WEEKDAY($A196,3))/(SUMIFS('Datos diario'!$F:$F,'Datos diario'!$C:$C,$C196,'Datos diario'!$B:$B,$A196-WEEKDAY($A196,3))+SUMIFS('Datos diario'!$G:$G,'Datos diario'!$C:$C,$C196,'Datos diario'!$B:$B,$A196-WEEKDAY($A196,3))),""))</f>
        <v/>
      </c>
      <c r="S196" s="31">
        <f>IF(OR($A196="",$C196=""),"",SUMIFS('Datos diario'!$I:$I,'Datos diario'!$C:$C,$C196,'Datos diario'!$B:$B,$A196-WEEKDAY($A196,3)))</f>
        <v/>
      </c>
      <c r="T196" s="31">
        <f>IF(OR($A196="",$C196=""),"",SUMIFS('Datos diario'!$P:$P,'Datos diario'!$C:$C,$C196,'Datos diario'!$B:$B,$A196-WEEKDAY($A196,3)))</f>
        <v/>
      </c>
      <c r="U196" s="31">
        <f>IF(OR($A196="",$C196=""),"",ROUND(SUMIFS('Datos diario'!$U:$U,'Datos diario'!$C:$C,$C196,'Datos diario'!$B:$B,$A196-WEEKDAY($A196,3)),0))</f>
        <v/>
      </c>
      <c r="V196" s="30">
        <f>IF(OR($A196="",$C196=""),"",IFERROR(ROUND(AVERAGEIFS('Datos diario'!$M:$M,'Datos diario'!$C:$C,$C196,'Datos diario'!$B:$B,$A196-WEEKDAY($A196,3),'Datos diario'!$L:$L,"&gt;0"),1),""))</f>
        <v/>
      </c>
    </row>
    <row r="197">
      <c r="A197" s="26" t="n"/>
      <c r="B197" s="22" t="n"/>
      <c r="C197" s="23">
        <f>IF(B197="","",IFERROR(INDEX(Perfil!$B$6:$B$17,MATCH(B197,Perfil!$A$6:$A$17,0)),""))</f>
        <v/>
      </c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30">
        <f>IF(COUNT(D197:K197)=0,"",AVERAGE(D197:K197))</f>
        <v/>
      </c>
      <c r="M197" s="22" t="n"/>
      <c r="N197" s="22" t="n"/>
      <c r="O197" s="22" t="n"/>
      <c r="P197" s="22" t="n"/>
      <c r="Q197" s="31">
        <f>IF(OR($A197="",$C197=""),"",SUMIFS('Datos diario'!$E:$E,'Datos diario'!$C:$C,$C197,'Datos diario'!$B:$B,$A197-WEEKDAY($A197,3)))</f>
        <v/>
      </c>
      <c r="R197" s="32">
        <f>IF(OR($A197="",$C197=""),"",IFERROR(SUMIFS('Datos diario'!$F:$F,'Datos diario'!$C:$C,$C197,'Datos diario'!$B:$B,$A197-WEEKDAY($A197,3))/(SUMIFS('Datos diario'!$F:$F,'Datos diario'!$C:$C,$C197,'Datos diario'!$B:$B,$A197-WEEKDAY($A197,3))+SUMIFS('Datos diario'!$G:$G,'Datos diario'!$C:$C,$C197,'Datos diario'!$B:$B,$A197-WEEKDAY($A197,3))),""))</f>
        <v/>
      </c>
      <c r="S197" s="31">
        <f>IF(OR($A197="",$C197=""),"",SUMIFS('Datos diario'!$I:$I,'Datos diario'!$C:$C,$C197,'Datos diario'!$B:$B,$A197-WEEKDAY($A197,3)))</f>
        <v/>
      </c>
      <c r="T197" s="31">
        <f>IF(OR($A197="",$C197=""),"",SUMIFS('Datos diario'!$P:$P,'Datos diario'!$C:$C,$C197,'Datos diario'!$B:$B,$A197-WEEKDAY($A197,3)))</f>
        <v/>
      </c>
      <c r="U197" s="31">
        <f>IF(OR($A197="",$C197=""),"",ROUND(SUMIFS('Datos diario'!$U:$U,'Datos diario'!$C:$C,$C197,'Datos diario'!$B:$B,$A197-WEEKDAY($A197,3)),0))</f>
        <v/>
      </c>
      <c r="V197" s="30">
        <f>IF(OR($A197="",$C197=""),"",IFERROR(ROUND(AVERAGEIFS('Datos diario'!$M:$M,'Datos diario'!$C:$C,$C197,'Datos diario'!$B:$B,$A197-WEEKDAY($A197,3),'Datos diario'!$L:$L,"&gt;0"),1),""))</f>
        <v/>
      </c>
    </row>
    <row r="198">
      <c r="A198" s="26" t="n"/>
      <c r="B198" s="22" t="n"/>
      <c r="C198" s="23">
        <f>IF(B198="","",IFERROR(INDEX(Perfil!$B$6:$B$17,MATCH(B198,Perfil!$A$6:$A$17,0)),""))</f>
        <v/>
      </c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30">
        <f>IF(COUNT(D198:K198)=0,"",AVERAGE(D198:K198))</f>
        <v/>
      </c>
      <c r="M198" s="22" t="n"/>
      <c r="N198" s="22" t="n"/>
      <c r="O198" s="22" t="n"/>
      <c r="P198" s="22" t="n"/>
      <c r="Q198" s="31">
        <f>IF(OR($A198="",$C198=""),"",SUMIFS('Datos diario'!$E:$E,'Datos diario'!$C:$C,$C198,'Datos diario'!$B:$B,$A198-WEEKDAY($A198,3)))</f>
        <v/>
      </c>
      <c r="R198" s="32">
        <f>IF(OR($A198="",$C198=""),"",IFERROR(SUMIFS('Datos diario'!$F:$F,'Datos diario'!$C:$C,$C198,'Datos diario'!$B:$B,$A198-WEEKDAY($A198,3))/(SUMIFS('Datos diario'!$F:$F,'Datos diario'!$C:$C,$C198,'Datos diario'!$B:$B,$A198-WEEKDAY($A198,3))+SUMIFS('Datos diario'!$G:$G,'Datos diario'!$C:$C,$C198,'Datos diario'!$B:$B,$A198-WEEKDAY($A198,3))),""))</f>
        <v/>
      </c>
      <c r="S198" s="31">
        <f>IF(OR($A198="",$C198=""),"",SUMIFS('Datos diario'!$I:$I,'Datos diario'!$C:$C,$C198,'Datos diario'!$B:$B,$A198-WEEKDAY($A198,3)))</f>
        <v/>
      </c>
      <c r="T198" s="31">
        <f>IF(OR($A198="",$C198=""),"",SUMIFS('Datos diario'!$P:$P,'Datos diario'!$C:$C,$C198,'Datos diario'!$B:$B,$A198-WEEKDAY($A198,3)))</f>
        <v/>
      </c>
      <c r="U198" s="31">
        <f>IF(OR($A198="",$C198=""),"",ROUND(SUMIFS('Datos diario'!$U:$U,'Datos diario'!$C:$C,$C198,'Datos diario'!$B:$B,$A198-WEEKDAY($A198,3)),0))</f>
        <v/>
      </c>
      <c r="V198" s="30">
        <f>IF(OR($A198="",$C198=""),"",IFERROR(ROUND(AVERAGEIFS('Datos diario'!$M:$M,'Datos diario'!$C:$C,$C198,'Datos diario'!$B:$B,$A198-WEEKDAY($A198,3),'Datos diario'!$L:$L,"&gt;0"),1),""))</f>
        <v/>
      </c>
    </row>
    <row r="199">
      <c r="A199" s="26" t="n"/>
      <c r="B199" s="22" t="n"/>
      <c r="C199" s="23">
        <f>IF(B199="","",IFERROR(INDEX(Perfil!$B$6:$B$17,MATCH(B199,Perfil!$A$6:$A$17,0)),""))</f>
        <v/>
      </c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30">
        <f>IF(COUNT(D199:K199)=0,"",AVERAGE(D199:K199))</f>
        <v/>
      </c>
      <c r="M199" s="22" t="n"/>
      <c r="N199" s="22" t="n"/>
      <c r="O199" s="22" t="n"/>
      <c r="P199" s="22" t="n"/>
      <c r="Q199" s="31">
        <f>IF(OR($A199="",$C199=""),"",SUMIFS('Datos diario'!$E:$E,'Datos diario'!$C:$C,$C199,'Datos diario'!$B:$B,$A199-WEEKDAY($A199,3)))</f>
        <v/>
      </c>
      <c r="R199" s="32">
        <f>IF(OR($A199="",$C199=""),"",IFERROR(SUMIFS('Datos diario'!$F:$F,'Datos diario'!$C:$C,$C199,'Datos diario'!$B:$B,$A199-WEEKDAY($A199,3))/(SUMIFS('Datos diario'!$F:$F,'Datos diario'!$C:$C,$C199,'Datos diario'!$B:$B,$A199-WEEKDAY($A199,3))+SUMIFS('Datos diario'!$G:$G,'Datos diario'!$C:$C,$C199,'Datos diario'!$B:$B,$A199-WEEKDAY($A199,3))),""))</f>
        <v/>
      </c>
      <c r="S199" s="31">
        <f>IF(OR($A199="",$C199=""),"",SUMIFS('Datos diario'!$I:$I,'Datos diario'!$C:$C,$C199,'Datos diario'!$B:$B,$A199-WEEKDAY($A199,3)))</f>
        <v/>
      </c>
      <c r="T199" s="31">
        <f>IF(OR($A199="",$C199=""),"",SUMIFS('Datos diario'!$P:$P,'Datos diario'!$C:$C,$C199,'Datos diario'!$B:$B,$A199-WEEKDAY($A199,3)))</f>
        <v/>
      </c>
      <c r="U199" s="31">
        <f>IF(OR($A199="",$C199=""),"",ROUND(SUMIFS('Datos diario'!$U:$U,'Datos diario'!$C:$C,$C199,'Datos diario'!$B:$B,$A199-WEEKDAY($A199,3)),0))</f>
        <v/>
      </c>
      <c r="V199" s="30">
        <f>IF(OR($A199="",$C199=""),"",IFERROR(ROUND(AVERAGEIFS('Datos diario'!$M:$M,'Datos diario'!$C:$C,$C199,'Datos diario'!$B:$B,$A199-WEEKDAY($A199,3),'Datos diario'!$L:$L,"&gt;0"),1),""))</f>
        <v/>
      </c>
    </row>
    <row r="200">
      <c r="A200" s="26" t="n"/>
      <c r="B200" s="22" t="n"/>
      <c r="C200" s="23">
        <f>IF(B200="","",IFERROR(INDEX(Perfil!$B$6:$B$17,MATCH(B200,Perfil!$A$6:$A$17,0)),""))</f>
        <v/>
      </c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30">
        <f>IF(COUNT(D200:K200)=0,"",AVERAGE(D200:K200))</f>
        <v/>
      </c>
      <c r="M200" s="22" t="n"/>
      <c r="N200" s="22" t="n"/>
      <c r="O200" s="22" t="n"/>
      <c r="P200" s="22" t="n"/>
      <c r="Q200" s="31">
        <f>IF(OR($A200="",$C200=""),"",SUMIFS('Datos diario'!$E:$E,'Datos diario'!$C:$C,$C200,'Datos diario'!$B:$B,$A200-WEEKDAY($A200,3)))</f>
        <v/>
      </c>
      <c r="R200" s="32">
        <f>IF(OR($A200="",$C200=""),"",IFERROR(SUMIFS('Datos diario'!$F:$F,'Datos diario'!$C:$C,$C200,'Datos diario'!$B:$B,$A200-WEEKDAY($A200,3))/(SUMIFS('Datos diario'!$F:$F,'Datos diario'!$C:$C,$C200,'Datos diario'!$B:$B,$A200-WEEKDAY($A200,3))+SUMIFS('Datos diario'!$G:$G,'Datos diario'!$C:$C,$C200,'Datos diario'!$B:$B,$A200-WEEKDAY($A200,3))),""))</f>
        <v/>
      </c>
      <c r="S200" s="31">
        <f>IF(OR($A200="",$C200=""),"",SUMIFS('Datos diario'!$I:$I,'Datos diario'!$C:$C,$C200,'Datos diario'!$B:$B,$A200-WEEKDAY($A200,3)))</f>
        <v/>
      </c>
      <c r="T200" s="31">
        <f>IF(OR($A200="",$C200=""),"",SUMIFS('Datos diario'!$P:$P,'Datos diario'!$C:$C,$C200,'Datos diario'!$B:$B,$A200-WEEKDAY($A200,3)))</f>
        <v/>
      </c>
      <c r="U200" s="31">
        <f>IF(OR($A200="",$C200=""),"",ROUND(SUMIFS('Datos diario'!$U:$U,'Datos diario'!$C:$C,$C200,'Datos diario'!$B:$B,$A200-WEEKDAY($A200,3)),0))</f>
        <v/>
      </c>
      <c r="V200" s="30">
        <f>IF(OR($A200="",$C200=""),"",IFERROR(ROUND(AVERAGEIFS('Datos diario'!$M:$M,'Datos diario'!$C:$C,$C200,'Datos diario'!$B:$B,$A200-WEEKDAY($A200,3),'Datos diario'!$L:$L,"&gt;0"),1),""))</f>
        <v/>
      </c>
    </row>
    <row r="201">
      <c r="A201" s="26" t="n"/>
      <c r="B201" s="22" t="n"/>
      <c r="C201" s="23">
        <f>IF(B201="","",IFERROR(INDEX(Perfil!$B$6:$B$17,MATCH(B201,Perfil!$A$6:$A$17,0)),""))</f>
        <v/>
      </c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30">
        <f>IF(COUNT(D201:K201)=0,"",AVERAGE(D201:K201))</f>
        <v/>
      </c>
      <c r="M201" s="22" t="n"/>
      <c r="N201" s="22" t="n"/>
      <c r="O201" s="22" t="n"/>
      <c r="P201" s="22" t="n"/>
      <c r="Q201" s="31">
        <f>IF(OR($A201="",$C201=""),"",SUMIFS('Datos diario'!$E:$E,'Datos diario'!$C:$C,$C201,'Datos diario'!$B:$B,$A201-WEEKDAY($A201,3)))</f>
        <v/>
      </c>
      <c r="R201" s="32">
        <f>IF(OR($A201="",$C201=""),"",IFERROR(SUMIFS('Datos diario'!$F:$F,'Datos diario'!$C:$C,$C201,'Datos diario'!$B:$B,$A201-WEEKDAY($A201,3))/(SUMIFS('Datos diario'!$F:$F,'Datos diario'!$C:$C,$C201,'Datos diario'!$B:$B,$A201-WEEKDAY($A201,3))+SUMIFS('Datos diario'!$G:$G,'Datos diario'!$C:$C,$C201,'Datos diario'!$B:$B,$A201-WEEKDAY($A201,3))),""))</f>
        <v/>
      </c>
      <c r="S201" s="31">
        <f>IF(OR($A201="",$C201=""),"",SUMIFS('Datos diario'!$I:$I,'Datos diario'!$C:$C,$C201,'Datos diario'!$B:$B,$A201-WEEKDAY($A201,3)))</f>
        <v/>
      </c>
      <c r="T201" s="31">
        <f>IF(OR($A201="",$C201=""),"",SUMIFS('Datos diario'!$P:$P,'Datos diario'!$C:$C,$C201,'Datos diario'!$B:$B,$A201-WEEKDAY($A201,3)))</f>
        <v/>
      </c>
      <c r="U201" s="31">
        <f>IF(OR($A201="",$C201=""),"",ROUND(SUMIFS('Datos diario'!$U:$U,'Datos diario'!$C:$C,$C201,'Datos diario'!$B:$B,$A201-WEEKDAY($A201,3)),0))</f>
        <v/>
      </c>
      <c r="V201" s="30">
        <f>IF(OR($A201="",$C201=""),"",IFERROR(ROUND(AVERAGEIFS('Datos diario'!$M:$M,'Datos diario'!$C:$C,$C201,'Datos diario'!$B:$B,$A201-WEEKDAY($A201,3),'Datos diario'!$L:$L,"&gt;0"),1),""))</f>
        <v/>
      </c>
    </row>
    <row r="202">
      <c r="A202" s="26" t="n"/>
      <c r="B202" s="22" t="n"/>
      <c r="C202" s="23">
        <f>IF(B202="","",IFERROR(INDEX(Perfil!$B$6:$B$17,MATCH(B202,Perfil!$A$6:$A$17,0)),""))</f>
        <v/>
      </c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30">
        <f>IF(COUNT(D202:K202)=0,"",AVERAGE(D202:K202))</f>
        <v/>
      </c>
      <c r="M202" s="22" t="n"/>
      <c r="N202" s="22" t="n"/>
      <c r="O202" s="22" t="n"/>
      <c r="P202" s="22" t="n"/>
      <c r="Q202" s="31">
        <f>IF(OR($A202="",$C202=""),"",SUMIFS('Datos diario'!$E:$E,'Datos diario'!$C:$C,$C202,'Datos diario'!$B:$B,$A202-WEEKDAY($A202,3)))</f>
        <v/>
      </c>
      <c r="R202" s="32">
        <f>IF(OR($A202="",$C202=""),"",IFERROR(SUMIFS('Datos diario'!$F:$F,'Datos diario'!$C:$C,$C202,'Datos diario'!$B:$B,$A202-WEEKDAY($A202,3))/(SUMIFS('Datos diario'!$F:$F,'Datos diario'!$C:$C,$C202,'Datos diario'!$B:$B,$A202-WEEKDAY($A202,3))+SUMIFS('Datos diario'!$G:$G,'Datos diario'!$C:$C,$C202,'Datos diario'!$B:$B,$A202-WEEKDAY($A202,3))),""))</f>
        <v/>
      </c>
      <c r="S202" s="31">
        <f>IF(OR($A202="",$C202=""),"",SUMIFS('Datos diario'!$I:$I,'Datos diario'!$C:$C,$C202,'Datos diario'!$B:$B,$A202-WEEKDAY($A202,3)))</f>
        <v/>
      </c>
      <c r="T202" s="31">
        <f>IF(OR($A202="",$C202=""),"",SUMIFS('Datos diario'!$P:$P,'Datos diario'!$C:$C,$C202,'Datos diario'!$B:$B,$A202-WEEKDAY($A202,3)))</f>
        <v/>
      </c>
      <c r="U202" s="31">
        <f>IF(OR($A202="",$C202=""),"",ROUND(SUMIFS('Datos diario'!$U:$U,'Datos diario'!$C:$C,$C202,'Datos diario'!$B:$B,$A202-WEEKDAY($A202,3)),0))</f>
        <v/>
      </c>
      <c r="V202" s="30">
        <f>IF(OR($A202="",$C202=""),"",IFERROR(ROUND(AVERAGEIFS('Datos diario'!$M:$M,'Datos diario'!$C:$C,$C202,'Datos diario'!$B:$B,$A202-WEEKDAY($A202,3),'Datos diario'!$L:$L,"&gt;0"),1),""))</f>
        <v/>
      </c>
    </row>
    <row r="203">
      <c r="A203" s="26" t="n"/>
      <c r="B203" s="22" t="n"/>
      <c r="C203" s="23">
        <f>IF(B203="","",IFERROR(INDEX(Perfil!$B$6:$B$17,MATCH(B203,Perfil!$A$6:$A$17,0)),""))</f>
        <v/>
      </c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30">
        <f>IF(COUNT(D203:K203)=0,"",AVERAGE(D203:K203))</f>
        <v/>
      </c>
      <c r="M203" s="22" t="n"/>
      <c r="N203" s="22" t="n"/>
      <c r="O203" s="22" t="n"/>
      <c r="P203" s="22" t="n"/>
      <c r="Q203" s="31">
        <f>IF(OR($A203="",$C203=""),"",SUMIFS('Datos diario'!$E:$E,'Datos diario'!$C:$C,$C203,'Datos diario'!$B:$B,$A203-WEEKDAY($A203,3)))</f>
        <v/>
      </c>
      <c r="R203" s="32">
        <f>IF(OR($A203="",$C203=""),"",IFERROR(SUMIFS('Datos diario'!$F:$F,'Datos diario'!$C:$C,$C203,'Datos diario'!$B:$B,$A203-WEEKDAY($A203,3))/(SUMIFS('Datos diario'!$F:$F,'Datos diario'!$C:$C,$C203,'Datos diario'!$B:$B,$A203-WEEKDAY($A203,3))+SUMIFS('Datos diario'!$G:$G,'Datos diario'!$C:$C,$C203,'Datos diario'!$B:$B,$A203-WEEKDAY($A203,3))),""))</f>
        <v/>
      </c>
      <c r="S203" s="31">
        <f>IF(OR($A203="",$C203=""),"",SUMIFS('Datos diario'!$I:$I,'Datos diario'!$C:$C,$C203,'Datos diario'!$B:$B,$A203-WEEKDAY($A203,3)))</f>
        <v/>
      </c>
      <c r="T203" s="31">
        <f>IF(OR($A203="",$C203=""),"",SUMIFS('Datos diario'!$P:$P,'Datos diario'!$C:$C,$C203,'Datos diario'!$B:$B,$A203-WEEKDAY($A203,3)))</f>
        <v/>
      </c>
      <c r="U203" s="31">
        <f>IF(OR($A203="",$C203=""),"",ROUND(SUMIFS('Datos diario'!$U:$U,'Datos diario'!$C:$C,$C203,'Datos diario'!$B:$B,$A203-WEEKDAY($A203,3)),0))</f>
        <v/>
      </c>
      <c r="V203" s="30">
        <f>IF(OR($A203="",$C203=""),"",IFERROR(ROUND(AVERAGEIFS('Datos diario'!$M:$M,'Datos diario'!$C:$C,$C203,'Datos diario'!$B:$B,$A203-WEEKDAY($A203,3),'Datos diario'!$L:$L,"&gt;0"),1),""))</f>
        <v/>
      </c>
    </row>
    <row r="204">
      <c r="A204" s="26" t="n"/>
      <c r="B204" s="22" t="n"/>
      <c r="C204" s="23">
        <f>IF(B204="","",IFERROR(INDEX(Perfil!$B$6:$B$17,MATCH(B204,Perfil!$A$6:$A$17,0)),""))</f>
        <v/>
      </c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30">
        <f>IF(COUNT(D204:K204)=0,"",AVERAGE(D204:K204))</f>
        <v/>
      </c>
      <c r="M204" s="22" t="n"/>
      <c r="N204" s="22" t="n"/>
      <c r="O204" s="22" t="n"/>
      <c r="P204" s="22" t="n"/>
      <c r="Q204" s="31">
        <f>IF(OR($A204="",$C204=""),"",SUMIFS('Datos diario'!$E:$E,'Datos diario'!$C:$C,$C204,'Datos diario'!$B:$B,$A204-WEEKDAY($A204,3)))</f>
        <v/>
      </c>
      <c r="R204" s="32">
        <f>IF(OR($A204="",$C204=""),"",IFERROR(SUMIFS('Datos diario'!$F:$F,'Datos diario'!$C:$C,$C204,'Datos diario'!$B:$B,$A204-WEEKDAY($A204,3))/(SUMIFS('Datos diario'!$F:$F,'Datos diario'!$C:$C,$C204,'Datos diario'!$B:$B,$A204-WEEKDAY($A204,3))+SUMIFS('Datos diario'!$G:$G,'Datos diario'!$C:$C,$C204,'Datos diario'!$B:$B,$A204-WEEKDAY($A204,3))),""))</f>
        <v/>
      </c>
      <c r="S204" s="31">
        <f>IF(OR($A204="",$C204=""),"",SUMIFS('Datos diario'!$I:$I,'Datos diario'!$C:$C,$C204,'Datos diario'!$B:$B,$A204-WEEKDAY($A204,3)))</f>
        <v/>
      </c>
      <c r="T204" s="31">
        <f>IF(OR($A204="",$C204=""),"",SUMIFS('Datos diario'!$P:$P,'Datos diario'!$C:$C,$C204,'Datos diario'!$B:$B,$A204-WEEKDAY($A204,3)))</f>
        <v/>
      </c>
      <c r="U204" s="31">
        <f>IF(OR($A204="",$C204=""),"",ROUND(SUMIFS('Datos diario'!$U:$U,'Datos diario'!$C:$C,$C204,'Datos diario'!$B:$B,$A204-WEEKDAY($A204,3)),0))</f>
        <v/>
      </c>
      <c r="V204" s="30">
        <f>IF(OR($A204="",$C204=""),"",IFERROR(ROUND(AVERAGEIFS('Datos diario'!$M:$M,'Datos diario'!$C:$C,$C204,'Datos diario'!$B:$B,$A204-WEEKDAY($A204,3),'Datos diario'!$L:$L,"&gt;0"),1),""))</f>
        <v/>
      </c>
    </row>
    <row r="205">
      <c r="A205" s="26" t="n"/>
      <c r="B205" s="22" t="n"/>
      <c r="C205" s="23">
        <f>IF(B205="","",IFERROR(INDEX(Perfil!$B$6:$B$17,MATCH(B205,Perfil!$A$6:$A$17,0)),""))</f>
        <v/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30">
        <f>IF(COUNT(D205:K205)=0,"",AVERAGE(D205:K205))</f>
        <v/>
      </c>
      <c r="M205" s="22" t="n"/>
      <c r="N205" s="22" t="n"/>
      <c r="O205" s="22" t="n"/>
      <c r="P205" s="22" t="n"/>
      <c r="Q205" s="31">
        <f>IF(OR($A205="",$C205=""),"",SUMIFS('Datos diario'!$E:$E,'Datos diario'!$C:$C,$C205,'Datos diario'!$B:$B,$A205-WEEKDAY($A205,3)))</f>
        <v/>
      </c>
      <c r="R205" s="32">
        <f>IF(OR($A205="",$C205=""),"",IFERROR(SUMIFS('Datos diario'!$F:$F,'Datos diario'!$C:$C,$C205,'Datos diario'!$B:$B,$A205-WEEKDAY($A205,3))/(SUMIFS('Datos diario'!$F:$F,'Datos diario'!$C:$C,$C205,'Datos diario'!$B:$B,$A205-WEEKDAY($A205,3))+SUMIFS('Datos diario'!$G:$G,'Datos diario'!$C:$C,$C205,'Datos diario'!$B:$B,$A205-WEEKDAY($A205,3))),""))</f>
        <v/>
      </c>
      <c r="S205" s="31">
        <f>IF(OR($A205="",$C205=""),"",SUMIFS('Datos diario'!$I:$I,'Datos diario'!$C:$C,$C205,'Datos diario'!$B:$B,$A205-WEEKDAY($A205,3)))</f>
        <v/>
      </c>
      <c r="T205" s="31">
        <f>IF(OR($A205="",$C205=""),"",SUMIFS('Datos diario'!$P:$P,'Datos diario'!$C:$C,$C205,'Datos diario'!$B:$B,$A205-WEEKDAY($A205,3)))</f>
        <v/>
      </c>
      <c r="U205" s="31">
        <f>IF(OR($A205="",$C205=""),"",ROUND(SUMIFS('Datos diario'!$U:$U,'Datos diario'!$C:$C,$C205,'Datos diario'!$B:$B,$A205-WEEKDAY($A205,3)),0))</f>
        <v/>
      </c>
      <c r="V205" s="30">
        <f>IF(OR($A205="",$C205=""),"",IFERROR(ROUND(AVERAGEIFS('Datos diario'!$M:$M,'Datos diario'!$C:$C,$C205,'Datos diario'!$B:$B,$A205-WEEKDAY($A205,3),'Datos diario'!$L:$L,"&gt;0"),1),""))</f>
        <v/>
      </c>
    </row>
  </sheetData>
  <dataValidations count="2">
    <dataValidation sqref="B6:B205" showDropDown="0" showInputMessage="0" showErrorMessage="0" allowBlank="1" errorTitle="Salón" error="Escribe el salón tal como está en la hoja Perfil." type="list">
      <formula1>Perfil!$A$6:$A$17</formula1>
    </dataValidation>
    <dataValidation sqref="D6:K205" showDropDown="0" showInputMessage="0" showErrorMessage="0" allowBlank="1" errorTitle="Puntaje" error="Pon un número entero del 1 al 5.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13" customWidth="1" min="8" max="8"/>
    <col width="50" customWidth="1" min="9" max="9"/>
  </cols>
  <sheetData>
    <row r="1" ht="30" customHeight="1">
      <c r="A1" s="1" t="inlineStr">
        <is>
          <t>Encuesta a clientas</t>
        </is>
      </c>
    </row>
    <row r="2">
      <c r="A2" s="2" t="inlineStr">
        <is>
          <t>Pega aquí las respuestas del formulario (preguntas en la hoja Formularios). Anónima: sin nombre ni teléfono.</t>
        </is>
      </c>
    </row>
    <row r="4" ht="48" customHeight="1">
      <c r="A4" s="18" t="inlineStr">
        <is>
          <t>Fecha</t>
        </is>
      </c>
      <c r="B4" s="18" t="inlineStr">
        <is>
          <t>Salón</t>
        </is>
      </c>
      <c r="C4" s="18" t="inlineStr">
        <is>
          <t>Canal</t>
        </is>
      </c>
      <c r="D4" s="18" t="inlineStr">
        <is>
          <t>Le respondieron rápido (1-5)</t>
        </is>
      </c>
      <c r="E4" s="18" t="inlineStr">
        <is>
          <t>Le resolvieron lo que pedía</t>
        </is>
      </c>
      <c r="F4" s="18" t="inlineStr">
        <is>
          <t>Notó que era una asistente</t>
        </is>
      </c>
      <c r="G4" s="18" t="inlineStr">
        <is>
          <t>Satisfacción general (1-5)</t>
        </is>
      </c>
      <c r="H4" s="18" t="inlineStr">
        <is>
          <t>Volvería a escribir por ahí</t>
        </is>
      </c>
      <c r="I4" s="18" t="inlineStr">
        <is>
          <t>Comentario</t>
        </is>
      </c>
    </row>
    <row r="5">
      <c r="A5" s="25" t="n">
        <v>46303</v>
      </c>
      <c r="B5" s="20" t="inlineStr">
        <is>
          <t>Salón Ejemplo</t>
        </is>
      </c>
      <c r="C5" s="20" t="inlineStr">
        <is>
          <t>WhatsApp</t>
        </is>
      </c>
      <c r="D5" s="20" t="n">
        <v>5</v>
      </c>
      <c r="E5" s="20" t="inlineStr">
        <is>
          <t>Sí</t>
        </is>
      </c>
      <c r="F5" s="20" t="inlineStr">
        <is>
          <t>No</t>
        </is>
      </c>
      <c r="G5" s="20" t="n">
        <v>5</v>
      </c>
      <c r="H5" s="20" t="inlineStr">
        <is>
          <t>Sí</t>
        </is>
      </c>
      <c r="I5" s="20" t="inlineStr">
        <is>
          <t>Me contestaron a las 11 de la noche</t>
        </is>
      </c>
    </row>
    <row r="6">
      <c r="A6" s="26" t="n"/>
      <c r="B6" s="22" t="n"/>
      <c r="C6" s="22" t="n"/>
      <c r="D6" s="22" t="n"/>
      <c r="E6" s="22" t="n"/>
      <c r="F6" s="22" t="n"/>
      <c r="G6" s="22" t="n"/>
      <c r="H6" s="22" t="n"/>
      <c r="I6" s="22" t="n"/>
    </row>
    <row r="7">
      <c r="A7" s="26" t="n"/>
      <c r="B7" s="22" t="n"/>
      <c r="C7" s="22" t="n"/>
      <c r="D7" s="22" t="n"/>
      <c r="E7" s="22" t="n"/>
      <c r="F7" s="22" t="n"/>
      <c r="G7" s="22" t="n"/>
      <c r="H7" s="22" t="n"/>
      <c r="I7" s="22" t="n"/>
    </row>
    <row r="8">
      <c r="A8" s="26" t="n"/>
      <c r="B8" s="22" t="n"/>
      <c r="C8" s="22" t="n"/>
      <c r="D8" s="22" t="n"/>
      <c r="E8" s="22" t="n"/>
      <c r="F8" s="22" t="n"/>
      <c r="G8" s="22" t="n"/>
      <c r="H8" s="22" t="n"/>
      <c r="I8" s="22" t="n"/>
    </row>
    <row r="9">
      <c r="A9" s="26" t="n"/>
      <c r="B9" s="22" t="n"/>
      <c r="C9" s="22" t="n"/>
      <c r="D9" s="22" t="n"/>
      <c r="E9" s="22" t="n"/>
      <c r="F9" s="22" t="n"/>
      <c r="G9" s="22" t="n"/>
      <c r="H9" s="22" t="n"/>
      <c r="I9" s="22" t="n"/>
    </row>
    <row r="10">
      <c r="A10" s="26" t="n"/>
      <c r="B10" s="22" t="n"/>
      <c r="C10" s="22" t="n"/>
      <c r="D10" s="22" t="n"/>
      <c r="E10" s="22" t="n"/>
      <c r="F10" s="22" t="n"/>
      <c r="G10" s="22" t="n"/>
      <c r="H10" s="22" t="n"/>
      <c r="I10" s="22" t="n"/>
    </row>
    <row r="11">
      <c r="A11" s="26" t="n"/>
      <c r="B11" s="22" t="n"/>
      <c r="C11" s="22" t="n"/>
      <c r="D11" s="22" t="n"/>
      <c r="E11" s="22" t="n"/>
      <c r="F11" s="22" t="n"/>
      <c r="G11" s="22" t="n"/>
      <c r="H11" s="22" t="n"/>
      <c r="I11" s="22" t="n"/>
    </row>
    <row r="12">
      <c r="A12" s="26" t="n"/>
      <c r="B12" s="22" t="n"/>
      <c r="C12" s="22" t="n"/>
      <c r="D12" s="22" t="n"/>
      <c r="E12" s="22" t="n"/>
      <c r="F12" s="22" t="n"/>
      <c r="G12" s="22" t="n"/>
      <c r="H12" s="22" t="n"/>
      <c r="I12" s="22" t="n"/>
    </row>
    <row r="13">
      <c r="A13" s="26" t="n"/>
      <c r="B13" s="22" t="n"/>
      <c r="C13" s="22" t="n"/>
      <c r="D13" s="22" t="n"/>
      <c r="E13" s="22" t="n"/>
      <c r="F13" s="22" t="n"/>
      <c r="G13" s="22" t="n"/>
      <c r="H13" s="22" t="n"/>
      <c r="I13" s="22" t="n"/>
    </row>
    <row r="14">
      <c r="A14" s="26" t="n"/>
      <c r="B14" s="22" t="n"/>
      <c r="C14" s="22" t="n"/>
      <c r="D14" s="22" t="n"/>
      <c r="E14" s="22" t="n"/>
      <c r="F14" s="22" t="n"/>
      <c r="G14" s="22" t="n"/>
      <c r="H14" s="22" t="n"/>
      <c r="I14" s="22" t="n"/>
    </row>
    <row r="15">
      <c r="A15" s="26" t="n"/>
      <c r="B15" s="22" t="n"/>
      <c r="C15" s="22" t="n"/>
      <c r="D15" s="22" t="n"/>
      <c r="E15" s="22" t="n"/>
      <c r="F15" s="22" t="n"/>
      <c r="G15" s="22" t="n"/>
      <c r="H15" s="22" t="n"/>
      <c r="I15" s="22" t="n"/>
    </row>
    <row r="16">
      <c r="A16" s="26" t="n"/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>
      <c r="A17" s="26" t="n"/>
      <c r="B17" s="22" t="n"/>
      <c r="C17" s="22" t="n"/>
      <c r="D17" s="22" t="n"/>
      <c r="E17" s="22" t="n"/>
      <c r="F17" s="22" t="n"/>
      <c r="G17" s="22" t="n"/>
      <c r="H17" s="22" t="n"/>
      <c r="I17" s="22" t="n"/>
    </row>
    <row r="18">
      <c r="A18" s="26" t="n"/>
      <c r="B18" s="22" t="n"/>
      <c r="C18" s="22" t="n"/>
      <c r="D18" s="22" t="n"/>
      <c r="E18" s="22" t="n"/>
      <c r="F18" s="22" t="n"/>
      <c r="G18" s="22" t="n"/>
      <c r="H18" s="22" t="n"/>
      <c r="I18" s="22" t="n"/>
    </row>
    <row r="19">
      <c r="A19" s="26" t="n"/>
      <c r="B19" s="22" t="n"/>
      <c r="C19" s="22" t="n"/>
      <c r="D19" s="22" t="n"/>
      <c r="E19" s="22" t="n"/>
      <c r="F19" s="22" t="n"/>
      <c r="G19" s="22" t="n"/>
      <c r="H19" s="22" t="n"/>
      <c r="I19" s="22" t="n"/>
    </row>
    <row r="20">
      <c r="A20" s="26" t="n"/>
      <c r="B20" s="22" t="n"/>
      <c r="C20" s="22" t="n"/>
      <c r="D20" s="22" t="n"/>
      <c r="E20" s="22" t="n"/>
      <c r="F20" s="22" t="n"/>
      <c r="G20" s="22" t="n"/>
      <c r="H20" s="22" t="n"/>
      <c r="I20" s="22" t="n"/>
    </row>
    <row r="21">
      <c r="A21" s="26" t="n"/>
      <c r="B21" s="22" t="n"/>
      <c r="C21" s="22" t="n"/>
      <c r="D21" s="22" t="n"/>
      <c r="E21" s="22" t="n"/>
      <c r="F21" s="22" t="n"/>
      <c r="G21" s="22" t="n"/>
      <c r="H21" s="22" t="n"/>
      <c r="I21" s="22" t="n"/>
    </row>
    <row r="22">
      <c r="A22" s="26" t="n"/>
      <c r="B22" s="22" t="n"/>
      <c r="C22" s="22" t="n"/>
      <c r="D22" s="22" t="n"/>
      <c r="E22" s="22" t="n"/>
      <c r="F22" s="22" t="n"/>
      <c r="G22" s="22" t="n"/>
      <c r="H22" s="22" t="n"/>
      <c r="I22" s="22" t="n"/>
    </row>
    <row r="23">
      <c r="A23" s="26" t="n"/>
      <c r="B23" s="22" t="n"/>
      <c r="C23" s="22" t="n"/>
      <c r="D23" s="22" t="n"/>
      <c r="E23" s="22" t="n"/>
      <c r="F23" s="22" t="n"/>
      <c r="G23" s="22" t="n"/>
      <c r="H23" s="22" t="n"/>
      <c r="I23" s="22" t="n"/>
    </row>
    <row r="24">
      <c r="A24" s="26" t="n"/>
      <c r="B24" s="22" t="n"/>
      <c r="C24" s="22" t="n"/>
      <c r="D24" s="22" t="n"/>
      <c r="E24" s="22" t="n"/>
      <c r="F24" s="22" t="n"/>
      <c r="G24" s="22" t="n"/>
      <c r="H24" s="22" t="n"/>
      <c r="I24" s="22" t="n"/>
    </row>
    <row r="25">
      <c r="A25" s="26" t="n"/>
      <c r="B25" s="22" t="n"/>
      <c r="C25" s="22" t="n"/>
      <c r="D25" s="22" t="n"/>
      <c r="E25" s="22" t="n"/>
      <c r="F25" s="22" t="n"/>
      <c r="G25" s="22" t="n"/>
      <c r="H25" s="22" t="n"/>
      <c r="I25" s="22" t="n"/>
    </row>
    <row r="26">
      <c r="A26" s="26" t="n"/>
      <c r="B26" s="22" t="n"/>
      <c r="C26" s="22" t="n"/>
      <c r="D26" s="22" t="n"/>
      <c r="E26" s="22" t="n"/>
      <c r="F26" s="22" t="n"/>
      <c r="G26" s="22" t="n"/>
      <c r="H26" s="22" t="n"/>
      <c r="I26" s="22" t="n"/>
    </row>
    <row r="27">
      <c r="A27" s="26" t="n"/>
      <c r="B27" s="22" t="n"/>
      <c r="C27" s="22" t="n"/>
      <c r="D27" s="22" t="n"/>
      <c r="E27" s="22" t="n"/>
      <c r="F27" s="22" t="n"/>
      <c r="G27" s="22" t="n"/>
      <c r="H27" s="22" t="n"/>
      <c r="I27" s="22" t="n"/>
    </row>
    <row r="28">
      <c r="A28" s="26" t="n"/>
      <c r="B28" s="22" t="n"/>
      <c r="C28" s="22" t="n"/>
      <c r="D28" s="22" t="n"/>
      <c r="E28" s="22" t="n"/>
      <c r="F28" s="22" t="n"/>
      <c r="G28" s="22" t="n"/>
      <c r="H28" s="22" t="n"/>
      <c r="I28" s="22" t="n"/>
    </row>
    <row r="29">
      <c r="A29" s="26" t="n"/>
      <c r="B29" s="22" t="n"/>
      <c r="C29" s="22" t="n"/>
      <c r="D29" s="22" t="n"/>
      <c r="E29" s="22" t="n"/>
      <c r="F29" s="22" t="n"/>
      <c r="G29" s="22" t="n"/>
      <c r="H29" s="22" t="n"/>
      <c r="I29" s="22" t="n"/>
    </row>
    <row r="30">
      <c r="A30" s="26" t="n"/>
      <c r="B30" s="22" t="n"/>
      <c r="C30" s="22" t="n"/>
      <c r="D30" s="22" t="n"/>
      <c r="E30" s="22" t="n"/>
      <c r="F30" s="22" t="n"/>
      <c r="G30" s="22" t="n"/>
      <c r="H30" s="22" t="n"/>
      <c r="I30" s="22" t="n"/>
    </row>
    <row r="31">
      <c r="A31" s="26" t="n"/>
      <c r="B31" s="22" t="n"/>
      <c r="C31" s="22" t="n"/>
      <c r="D31" s="22" t="n"/>
      <c r="E31" s="22" t="n"/>
      <c r="F31" s="22" t="n"/>
      <c r="G31" s="22" t="n"/>
      <c r="H31" s="22" t="n"/>
      <c r="I31" s="22" t="n"/>
    </row>
    <row r="32">
      <c r="A32" s="26" t="n"/>
      <c r="B32" s="22" t="n"/>
      <c r="C32" s="22" t="n"/>
      <c r="D32" s="22" t="n"/>
      <c r="E32" s="22" t="n"/>
      <c r="F32" s="22" t="n"/>
      <c r="G32" s="22" t="n"/>
      <c r="H32" s="22" t="n"/>
      <c r="I32" s="22" t="n"/>
    </row>
    <row r="33">
      <c r="A33" s="26" t="n"/>
      <c r="B33" s="22" t="n"/>
      <c r="C33" s="22" t="n"/>
      <c r="D33" s="22" t="n"/>
      <c r="E33" s="22" t="n"/>
      <c r="F33" s="22" t="n"/>
      <c r="G33" s="22" t="n"/>
      <c r="H33" s="22" t="n"/>
      <c r="I33" s="22" t="n"/>
    </row>
    <row r="34">
      <c r="A34" s="26" t="n"/>
      <c r="B34" s="22" t="n"/>
      <c r="C34" s="22" t="n"/>
      <c r="D34" s="22" t="n"/>
      <c r="E34" s="22" t="n"/>
      <c r="F34" s="22" t="n"/>
      <c r="G34" s="22" t="n"/>
      <c r="H34" s="22" t="n"/>
      <c r="I34" s="22" t="n"/>
    </row>
    <row r="35">
      <c r="A35" s="26" t="n"/>
      <c r="B35" s="22" t="n"/>
      <c r="C35" s="22" t="n"/>
      <c r="D35" s="22" t="n"/>
      <c r="E35" s="22" t="n"/>
      <c r="F35" s="22" t="n"/>
      <c r="G35" s="22" t="n"/>
      <c r="H35" s="22" t="n"/>
      <c r="I35" s="22" t="n"/>
    </row>
    <row r="36">
      <c r="A36" s="26" t="n"/>
      <c r="B36" s="22" t="n"/>
      <c r="C36" s="22" t="n"/>
      <c r="D36" s="22" t="n"/>
      <c r="E36" s="22" t="n"/>
      <c r="F36" s="22" t="n"/>
      <c r="G36" s="22" t="n"/>
      <c r="H36" s="22" t="n"/>
      <c r="I36" s="22" t="n"/>
    </row>
    <row r="37">
      <c r="A37" s="26" t="n"/>
      <c r="B37" s="22" t="n"/>
      <c r="C37" s="22" t="n"/>
      <c r="D37" s="22" t="n"/>
      <c r="E37" s="22" t="n"/>
      <c r="F37" s="22" t="n"/>
      <c r="G37" s="22" t="n"/>
      <c r="H37" s="22" t="n"/>
      <c r="I37" s="22" t="n"/>
    </row>
    <row r="38">
      <c r="A38" s="26" t="n"/>
      <c r="B38" s="22" t="n"/>
      <c r="C38" s="22" t="n"/>
      <c r="D38" s="22" t="n"/>
      <c r="E38" s="22" t="n"/>
      <c r="F38" s="22" t="n"/>
      <c r="G38" s="22" t="n"/>
      <c r="H38" s="22" t="n"/>
      <c r="I38" s="22" t="n"/>
    </row>
    <row r="39">
      <c r="A39" s="26" t="n"/>
      <c r="B39" s="22" t="n"/>
      <c r="C39" s="22" t="n"/>
      <c r="D39" s="22" t="n"/>
      <c r="E39" s="22" t="n"/>
      <c r="F39" s="22" t="n"/>
      <c r="G39" s="22" t="n"/>
      <c r="H39" s="22" t="n"/>
      <c r="I39" s="22" t="n"/>
    </row>
    <row r="40">
      <c r="A40" s="26" t="n"/>
      <c r="B40" s="22" t="n"/>
      <c r="C40" s="22" t="n"/>
      <c r="D40" s="22" t="n"/>
      <c r="E40" s="22" t="n"/>
      <c r="F40" s="22" t="n"/>
      <c r="G40" s="22" t="n"/>
      <c r="H40" s="22" t="n"/>
      <c r="I40" s="22" t="n"/>
    </row>
    <row r="41">
      <c r="A41" s="26" t="n"/>
      <c r="B41" s="22" t="n"/>
      <c r="C41" s="22" t="n"/>
      <c r="D41" s="22" t="n"/>
      <c r="E41" s="22" t="n"/>
      <c r="F41" s="22" t="n"/>
      <c r="G41" s="22" t="n"/>
      <c r="H41" s="22" t="n"/>
      <c r="I41" s="22" t="n"/>
    </row>
    <row r="42">
      <c r="A42" s="26" t="n"/>
      <c r="B42" s="22" t="n"/>
      <c r="C42" s="22" t="n"/>
      <c r="D42" s="22" t="n"/>
      <c r="E42" s="22" t="n"/>
      <c r="F42" s="22" t="n"/>
      <c r="G42" s="22" t="n"/>
      <c r="H42" s="22" t="n"/>
      <c r="I42" s="22" t="n"/>
    </row>
    <row r="43">
      <c r="A43" s="26" t="n"/>
      <c r="B43" s="22" t="n"/>
      <c r="C43" s="22" t="n"/>
      <c r="D43" s="22" t="n"/>
      <c r="E43" s="22" t="n"/>
      <c r="F43" s="22" t="n"/>
      <c r="G43" s="22" t="n"/>
      <c r="H43" s="22" t="n"/>
      <c r="I43" s="22" t="n"/>
    </row>
    <row r="44">
      <c r="A44" s="26" t="n"/>
      <c r="B44" s="22" t="n"/>
      <c r="C44" s="22" t="n"/>
      <c r="D44" s="22" t="n"/>
      <c r="E44" s="22" t="n"/>
      <c r="F44" s="22" t="n"/>
      <c r="G44" s="22" t="n"/>
      <c r="H44" s="22" t="n"/>
      <c r="I44" s="22" t="n"/>
    </row>
    <row r="45">
      <c r="A45" s="26" t="n"/>
      <c r="B45" s="22" t="n"/>
      <c r="C45" s="22" t="n"/>
      <c r="D45" s="22" t="n"/>
      <c r="E45" s="22" t="n"/>
      <c r="F45" s="22" t="n"/>
      <c r="G45" s="22" t="n"/>
      <c r="H45" s="22" t="n"/>
      <c r="I45" s="22" t="n"/>
    </row>
    <row r="46">
      <c r="A46" s="26" t="n"/>
      <c r="B46" s="22" t="n"/>
      <c r="C46" s="22" t="n"/>
      <c r="D46" s="22" t="n"/>
      <c r="E46" s="22" t="n"/>
      <c r="F46" s="22" t="n"/>
      <c r="G46" s="22" t="n"/>
      <c r="H46" s="22" t="n"/>
      <c r="I46" s="22" t="n"/>
    </row>
    <row r="47">
      <c r="A47" s="26" t="n"/>
      <c r="B47" s="22" t="n"/>
      <c r="C47" s="22" t="n"/>
      <c r="D47" s="22" t="n"/>
      <c r="E47" s="22" t="n"/>
      <c r="F47" s="22" t="n"/>
      <c r="G47" s="22" t="n"/>
      <c r="H47" s="22" t="n"/>
      <c r="I47" s="22" t="n"/>
    </row>
    <row r="48">
      <c r="A48" s="26" t="n"/>
      <c r="B48" s="22" t="n"/>
      <c r="C48" s="22" t="n"/>
      <c r="D48" s="22" t="n"/>
      <c r="E48" s="22" t="n"/>
      <c r="F48" s="22" t="n"/>
      <c r="G48" s="22" t="n"/>
      <c r="H48" s="22" t="n"/>
      <c r="I48" s="22" t="n"/>
    </row>
    <row r="49">
      <c r="A49" s="26" t="n"/>
      <c r="B49" s="22" t="n"/>
      <c r="C49" s="22" t="n"/>
      <c r="D49" s="22" t="n"/>
      <c r="E49" s="22" t="n"/>
      <c r="F49" s="22" t="n"/>
      <c r="G49" s="22" t="n"/>
      <c r="H49" s="22" t="n"/>
      <c r="I49" s="22" t="n"/>
    </row>
    <row r="50">
      <c r="A50" s="26" t="n"/>
      <c r="B50" s="22" t="n"/>
      <c r="C50" s="22" t="n"/>
      <c r="D50" s="22" t="n"/>
      <c r="E50" s="22" t="n"/>
      <c r="F50" s="22" t="n"/>
      <c r="G50" s="22" t="n"/>
      <c r="H50" s="22" t="n"/>
      <c r="I50" s="22" t="n"/>
    </row>
    <row r="51">
      <c r="A51" s="26" t="n"/>
      <c r="B51" s="22" t="n"/>
      <c r="C51" s="22" t="n"/>
      <c r="D51" s="22" t="n"/>
      <c r="E51" s="22" t="n"/>
      <c r="F51" s="22" t="n"/>
      <c r="G51" s="22" t="n"/>
      <c r="H51" s="22" t="n"/>
      <c r="I51" s="22" t="n"/>
    </row>
    <row r="52">
      <c r="A52" s="26" t="n"/>
      <c r="B52" s="22" t="n"/>
      <c r="C52" s="22" t="n"/>
      <c r="D52" s="22" t="n"/>
      <c r="E52" s="22" t="n"/>
      <c r="F52" s="22" t="n"/>
      <c r="G52" s="22" t="n"/>
      <c r="H52" s="22" t="n"/>
      <c r="I52" s="22" t="n"/>
    </row>
    <row r="53">
      <c r="A53" s="26" t="n"/>
      <c r="B53" s="22" t="n"/>
      <c r="C53" s="22" t="n"/>
      <c r="D53" s="22" t="n"/>
      <c r="E53" s="22" t="n"/>
      <c r="F53" s="22" t="n"/>
      <c r="G53" s="22" t="n"/>
      <c r="H53" s="22" t="n"/>
      <c r="I53" s="22" t="n"/>
    </row>
    <row r="54">
      <c r="A54" s="26" t="n"/>
      <c r="B54" s="22" t="n"/>
      <c r="C54" s="22" t="n"/>
      <c r="D54" s="22" t="n"/>
      <c r="E54" s="22" t="n"/>
      <c r="F54" s="22" t="n"/>
      <c r="G54" s="22" t="n"/>
      <c r="H54" s="22" t="n"/>
      <c r="I54" s="22" t="n"/>
    </row>
    <row r="55">
      <c r="A55" s="26" t="n"/>
      <c r="B55" s="22" t="n"/>
      <c r="C55" s="22" t="n"/>
      <c r="D55" s="22" t="n"/>
      <c r="E55" s="22" t="n"/>
      <c r="F55" s="22" t="n"/>
      <c r="G55" s="22" t="n"/>
      <c r="H55" s="22" t="n"/>
      <c r="I55" s="22" t="n"/>
    </row>
    <row r="56">
      <c r="A56" s="26" t="n"/>
      <c r="B56" s="22" t="n"/>
      <c r="C56" s="22" t="n"/>
      <c r="D56" s="22" t="n"/>
      <c r="E56" s="22" t="n"/>
      <c r="F56" s="22" t="n"/>
      <c r="G56" s="22" t="n"/>
      <c r="H56" s="22" t="n"/>
      <c r="I56" s="22" t="n"/>
    </row>
    <row r="57">
      <c r="A57" s="26" t="n"/>
      <c r="B57" s="22" t="n"/>
      <c r="C57" s="22" t="n"/>
      <c r="D57" s="22" t="n"/>
      <c r="E57" s="22" t="n"/>
      <c r="F57" s="22" t="n"/>
      <c r="G57" s="22" t="n"/>
      <c r="H57" s="22" t="n"/>
      <c r="I57" s="22" t="n"/>
    </row>
    <row r="58">
      <c r="A58" s="26" t="n"/>
      <c r="B58" s="22" t="n"/>
      <c r="C58" s="22" t="n"/>
      <c r="D58" s="22" t="n"/>
      <c r="E58" s="22" t="n"/>
      <c r="F58" s="22" t="n"/>
      <c r="G58" s="22" t="n"/>
      <c r="H58" s="22" t="n"/>
      <c r="I58" s="22" t="n"/>
    </row>
    <row r="59">
      <c r="A59" s="26" t="n"/>
      <c r="B59" s="22" t="n"/>
      <c r="C59" s="22" t="n"/>
      <c r="D59" s="22" t="n"/>
      <c r="E59" s="22" t="n"/>
      <c r="F59" s="22" t="n"/>
      <c r="G59" s="22" t="n"/>
      <c r="H59" s="22" t="n"/>
      <c r="I59" s="22" t="n"/>
    </row>
    <row r="60">
      <c r="A60" s="26" t="n"/>
      <c r="B60" s="22" t="n"/>
      <c r="C60" s="22" t="n"/>
      <c r="D60" s="22" t="n"/>
      <c r="E60" s="22" t="n"/>
      <c r="F60" s="22" t="n"/>
      <c r="G60" s="22" t="n"/>
      <c r="H60" s="22" t="n"/>
      <c r="I60" s="22" t="n"/>
    </row>
    <row r="61">
      <c r="A61" s="26" t="n"/>
      <c r="B61" s="22" t="n"/>
      <c r="C61" s="22" t="n"/>
      <c r="D61" s="22" t="n"/>
      <c r="E61" s="22" t="n"/>
      <c r="F61" s="22" t="n"/>
      <c r="G61" s="22" t="n"/>
      <c r="H61" s="22" t="n"/>
      <c r="I61" s="22" t="n"/>
    </row>
    <row r="62">
      <c r="A62" s="26" t="n"/>
      <c r="B62" s="22" t="n"/>
      <c r="C62" s="22" t="n"/>
      <c r="D62" s="22" t="n"/>
      <c r="E62" s="22" t="n"/>
      <c r="F62" s="22" t="n"/>
      <c r="G62" s="22" t="n"/>
      <c r="H62" s="22" t="n"/>
      <c r="I62" s="22" t="n"/>
    </row>
    <row r="63">
      <c r="A63" s="26" t="n"/>
      <c r="B63" s="22" t="n"/>
      <c r="C63" s="22" t="n"/>
      <c r="D63" s="22" t="n"/>
      <c r="E63" s="22" t="n"/>
      <c r="F63" s="22" t="n"/>
      <c r="G63" s="22" t="n"/>
      <c r="H63" s="22" t="n"/>
      <c r="I63" s="22" t="n"/>
    </row>
    <row r="64">
      <c r="A64" s="26" t="n"/>
      <c r="B64" s="22" t="n"/>
      <c r="C64" s="22" t="n"/>
      <c r="D64" s="22" t="n"/>
      <c r="E64" s="22" t="n"/>
      <c r="F64" s="22" t="n"/>
      <c r="G64" s="22" t="n"/>
      <c r="H64" s="22" t="n"/>
      <c r="I64" s="22" t="n"/>
    </row>
    <row r="65">
      <c r="A65" s="26" t="n"/>
      <c r="B65" s="22" t="n"/>
      <c r="C65" s="22" t="n"/>
      <c r="D65" s="22" t="n"/>
      <c r="E65" s="22" t="n"/>
      <c r="F65" s="22" t="n"/>
      <c r="G65" s="22" t="n"/>
      <c r="H65" s="22" t="n"/>
      <c r="I65" s="22" t="n"/>
    </row>
    <row r="66">
      <c r="A66" s="26" t="n"/>
      <c r="B66" s="22" t="n"/>
      <c r="C66" s="22" t="n"/>
      <c r="D66" s="22" t="n"/>
      <c r="E66" s="22" t="n"/>
      <c r="F66" s="22" t="n"/>
      <c r="G66" s="22" t="n"/>
      <c r="H66" s="22" t="n"/>
      <c r="I66" s="22" t="n"/>
    </row>
    <row r="67">
      <c r="A67" s="26" t="n"/>
      <c r="B67" s="22" t="n"/>
      <c r="C67" s="22" t="n"/>
      <c r="D67" s="22" t="n"/>
      <c r="E67" s="22" t="n"/>
      <c r="F67" s="22" t="n"/>
      <c r="G67" s="22" t="n"/>
      <c r="H67" s="22" t="n"/>
      <c r="I67" s="22" t="n"/>
    </row>
    <row r="68">
      <c r="A68" s="26" t="n"/>
      <c r="B68" s="22" t="n"/>
      <c r="C68" s="22" t="n"/>
      <c r="D68" s="22" t="n"/>
      <c r="E68" s="22" t="n"/>
      <c r="F68" s="22" t="n"/>
      <c r="G68" s="22" t="n"/>
      <c r="H68" s="22" t="n"/>
      <c r="I68" s="22" t="n"/>
    </row>
    <row r="69">
      <c r="A69" s="26" t="n"/>
      <c r="B69" s="22" t="n"/>
      <c r="C69" s="22" t="n"/>
      <c r="D69" s="22" t="n"/>
      <c r="E69" s="22" t="n"/>
      <c r="F69" s="22" t="n"/>
      <c r="G69" s="22" t="n"/>
      <c r="H69" s="22" t="n"/>
      <c r="I69" s="22" t="n"/>
    </row>
    <row r="70">
      <c r="A70" s="26" t="n"/>
      <c r="B70" s="22" t="n"/>
      <c r="C70" s="22" t="n"/>
      <c r="D70" s="22" t="n"/>
      <c r="E70" s="22" t="n"/>
      <c r="F70" s="22" t="n"/>
      <c r="G70" s="22" t="n"/>
      <c r="H70" s="22" t="n"/>
      <c r="I70" s="22" t="n"/>
    </row>
    <row r="71">
      <c r="A71" s="26" t="n"/>
      <c r="B71" s="22" t="n"/>
      <c r="C71" s="22" t="n"/>
      <c r="D71" s="22" t="n"/>
      <c r="E71" s="22" t="n"/>
      <c r="F71" s="22" t="n"/>
      <c r="G71" s="22" t="n"/>
      <c r="H71" s="22" t="n"/>
      <c r="I71" s="22" t="n"/>
    </row>
    <row r="72">
      <c r="A72" s="26" t="n"/>
      <c r="B72" s="22" t="n"/>
      <c r="C72" s="22" t="n"/>
      <c r="D72" s="22" t="n"/>
      <c r="E72" s="22" t="n"/>
      <c r="F72" s="22" t="n"/>
      <c r="G72" s="22" t="n"/>
      <c r="H72" s="22" t="n"/>
      <c r="I72" s="22" t="n"/>
    </row>
    <row r="73">
      <c r="A73" s="26" t="n"/>
      <c r="B73" s="22" t="n"/>
      <c r="C73" s="22" t="n"/>
      <c r="D73" s="22" t="n"/>
      <c r="E73" s="22" t="n"/>
      <c r="F73" s="22" t="n"/>
      <c r="G73" s="22" t="n"/>
      <c r="H73" s="22" t="n"/>
      <c r="I73" s="22" t="n"/>
    </row>
    <row r="74">
      <c r="A74" s="26" t="n"/>
      <c r="B74" s="22" t="n"/>
      <c r="C74" s="22" t="n"/>
      <c r="D74" s="22" t="n"/>
      <c r="E74" s="22" t="n"/>
      <c r="F74" s="22" t="n"/>
      <c r="G74" s="22" t="n"/>
      <c r="H74" s="22" t="n"/>
      <c r="I74" s="22" t="n"/>
    </row>
    <row r="75">
      <c r="A75" s="26" t="n"/>
      <c r="B75" s="22" t="n"/>
      <c r="C75" s="22" t="n"/>
      <c r="D75" s="22" t="n"/>
      <c r="E75" s="22" t="n"/>
      <c r="F75" s="22" t="n"/>
      <c r="G75" s="22" t="n"/>
      <c r="H75" s="22" t="n"/>
      <c r="I75" s="22" t="n"/>
    </row>
    <row r="76">
      <c r="A76" s="26" t="n"/>
      <c r="B76" s="22" t="n"/>
      <c r="C76" s="22" t="n"/>
      <c r="D76" s="22" t="n"/>
      <c r="E76" s="22" t="n"/>
      <c r="F76" s="22" t="n"/>
      <c r="G76" s="22" t="n"/>
      <c r="H76" s="22" t="n"/>
      <c r="I76" s="22" t="n"/>
    </row>
    <row r="77">
      <c r="A77" s="26" t="n"/>
      <c r="B77" s="22" t="n"/>
      <c r="C77" s="22" t="n"/>
      <c r="D77" s="22" t="n"/>
      <c r="E77" s="22" t="n"/>
      <c r="F77" s="22" t="n"/>
      <c r="G77" s="22" t="n"/>
      <c r="H77" s="22" t="n"/>
      <c r="I77" s="22" t="n"/>
    </row>
    <row r="78">
      <c r="A78" s="26" t="n"/>
      <c r="B78" s="22" t="n"/>
      <c r="C78" s="22" t="n"/>
      <c r="D78" s="22" t="n"/>
      <c r="E78" s="22" t="n"/>
      <c r="F78" s="22" t="n"/>
      <c r="G78" s="22" t="n"/>
      <c r="H78" s="22" t="n"/>
      <c r="I78" s="22" t="n"/>
    </row>
    <row r="79">
      <c r="A79" s="26" t="n"/>
      <c r="B79" s="22" t="n"/>
      <c r="C79" s="22" t="n"/>
      <c r="D79" s="22" t="n"/>
      <c r="E79" s="22" t="n"/>
      <c r="F79" s="22" t="n"/>
      <c r="G79" s="22" t="n"/>
      <c r="H79" s="22" t="n"/>
      <c r="I79" s="22" t="n"/>
    </row>
    <row r="80">
      <c r="A80" s="26" t="n"/>
      <c r="B80" s="22" t="n"/>
      <c r="C80" s="22" t="n"/>
      <c r="D80" s="22" t="n"/>
      <c r="E80" s="22" t="n"/>
      <c r="F80" s="22" t="n"/>
      <c r="G80" s="22" t="n"/>
      <c r="H80" s="22" t="n"/>
      <c r="I80" s="22" t="n"/>
    </row>
    <row r="81">
      <c r="A81" s="26" t="n"/>
      <c r="B81" s="22" t="n"/>
      <c r="C81" s="22" t="n"/>
      <c r="D81" s="22" t="n"/>
      <c r="E81" s="22" t="n"/>
      <c r="F81" s="22" t="n"/>
      <c r="G81" s="22" t="n"/>
      <c r="H81" s="22" t="n"/>
      <c r="I81" s="22" t="n"/>
    </row>
    <row r="82">
      <c r="A82" s="26" t="n"/>
      <c r="B82" s="22" t="n"/>
      <c r="C82" s="22" t="n"/>
      <c r="D82" s="22" t="n"/>
      <c r="E82" s="22" t="n"/>
      <c r="F82" s="22" t="n"/>
      <c r="G82" s="22" t="n"/>
      <c r="H82" s="22" t="n"/>
      <c r="I82" s="22" t="n"/>
    </row>
    <row r="83">
      <c r="A83" s="26" t="n"/>
      <c r="B83" s="22" t="n"/>
      <c r="C83" s="22" t="n"/>
      <c r="D83" s="22" t="n"/>
      <c r="E83" s="22" t="n"/>
      <c r="F83" s="22" t="n"/>
      <c r="G83" s="22" t="n"/>
      <c r="H83" s="22" t="n"/>
      <c r="I83" s="22" t="n"/>
    </row>
    <row r="84">
      <c r="A84" s="26" t="n"/>
      <c r="B84" s="22" t="n"/>
      <c r="C84" s="22" t="n"/>
      <c r="D84" s="22" t="n"/>
      <c r="E84" s="22" t="n"/>
      <c r="F84" s="22" t="n"/>
      <c r="G84" s="22" t="n"/>
      <c r="H84" s="22" t="n"/>
      <c r="I84" s="22" t="n"/>
    </row>
    <row r="85">
      <c r="A85" s="26" t="n"/>
      <c r="B85" s="22" t="n"/>
      <c r="C85" s="22" t="n"/>
      <c r="D85" s="22" t="n"/>
      <c r="E85" s="22" t="n"/>
      <c r="F85" s="22" t="n"/>
      <c r="G85" s="22" t="n"/>
      <c r="H85" s="22" t="n"/>
      <c r="I85" s="22" t="n"/>
    </row>
    <row r="86">
      <c r="A86" s="26" t="n"/>
      <c r="B86" s="22" t="n"/>
      <c r="C86" s="22" t="n"/>
      <c r="D86" s="22" t="n"/>
      <c r="E86" s="22" t="n"/>
      <c r="F86" s="22" t="n"/>
      <c r="G86" s="22" t="n"/>
      <c r="H86" s="22" t="n"/>
      <c r="I86" s="22" t="n"/>
    </row>
    <row r="87">
      <c r="A87" s="26" t="n"/>
      <c r="B87" s="22" t="n"/>
      <c r="C87" s="22" t="n"/>
      <c r="D87" s="22" t="n"/>
      <c r="E87" s="22" t="n"/>
      <c r="F87" s="22" t="n"/>
      <c r="G87" s="22" t="n"/>
      <c r="H87" s="22" t="n"/>
      <c r="I87" s="22" t="n"/>
    </row>
    <row r="88">
      <c r="A88" s="26" t="n"/>
      <c r="B88" s="22" t="n"/>
      <c r="C88" s="22" t="n"/>
      <c r="D88" s="22" t="n"/>
      <c r="E88" s="22" t="n"/>
      <c r="F88" s="22" t="n"/>
      <c r="G88" s="22" t="n"/>
      <c r="H88" s="22" t="n"/>
      <c r="I88" s="22" t="n"/>
    </row>
    <row r="89">
      <c r="A89" s="26" t="n"/>
      <c r="B89" s="22" t="n"/>
      <c r="C89" s="22" t="n"/>
      <c r="D89" s="22" t="n"/>
      <c r="E89" s="22" t="n"/>
      <c r="F89" s="22" t="n"/>
      <c r="G89" s="22" t="n"/>
      <c r="H89" s="22" t="n"/>
      <c r="I89" s="22" t="n"/>
    </row>
    <row r="90">
      <c r="A90" s="26" t="n"/>
      <c r="B90" s="22" t="n"/>
      <c r="C90" s="22" t="n"/>
      <c r="D90" s="22" t="n"/>
      <c r="E90" s="22" t="n"/>
      <c r="F90" s="22" t="n"/>
      <c r="G90" s="22" t="n"/>
      <c r="H90" s="22" t="n"/>
      <c r="I90" s="22" t="n"/>
    </row>
    <row r="91">
      <c r="A91" s="26" t="n"/>
      <c r="B91" s="22" t="n"/>
      <c r="C91" s="22" t="n"/>
      <c r="D91" s="22" t="n"/>
      <c r="E91" s="22" t="n"/>
      <c r="F91" s="22" t="n"/>
      <c r="G91" s="22" t="n"/>
      <c r="H91" s="22" t="n"/>
      <c r="I91" s="22" t="n"/>
    </row>
    <row r="92">
      <c r="A92" s="26" t="n"/>
      <c r="B92" s="22" t="n"/>
      <c r="C92" s="22" t="n"/>
      <c r="D92" s="22" t="n"/>
      <c r="E92" s="22" t="n"/>
      <c r="F92" s="22" t="n"/>
      <c r="G92" s="22" t="n"/>
      <c r="H92" s="22" t="n"/>
      <c r="I92" s="22" t="n"/>
    </row>
    <row r="93">
      <c r="A93" s="26" t="n"/>
      <c r="B93" s="22" t="n"/>
      <c r="C93" s="22" t="n"/>
      <c r="D93" s="22" t="n"/>
      <c r="E93" s="22" t="n"/>
      <c r="F93" s="22" t="n"/>
      <c r="G93" s="22" t="n"/>
      <c r="H93" s="22" t="n"/>
      <c r="I93" s="22" t="n"/>
    </row>
    <row r="94">
      <c r="A94" s="26" t="n"/>
      <c r="B94" s="22" t="n"/>
      <c r="C94" s="22" t="n"/>
      <c r="D94" s="22" t="n"/>
      <c r="E94" s="22" t="n"/>
      <c r="F94" s="22" t="n"/>
      <c r="G94" s="22" t="n"/>
      <c r="H94" s="22" t="n"/>
      <c r="I94" s="22" t="n"/>
    </row>
    <row r="95">
      <c r="A95" s="26" t="n"/>
      <c r="B95" s="22" t="n"/>
      <c r="C95" s="22" t="n"/>
      <c r="D95" s="22" t="n"/>
      <c r="E95" s="22" t="n"/>
      <c r="F95" s="22" t="n"/>
      <c r="G95" s="22" t="n"/>
      <c r="H95" s="22" t="n"/>
      <c r="I95" s="22" t="n"/>
    </row>
    <row r="96">
      <c r="A96" s="26" t="n"/>
      <c r="B96" s="22" t="n"/>
      <c r="C96" s="22" t="n"/>
      <c r="D96" s="22" t="n"/>
      <c r="E96" s="22" t="n"/>
      <c r="F96" s="22" t="n"/>
      <c r="G96" s="22" t="n"/>
      <c r="H96" s="22" t="n"/>
      <c r="I96" s="22" t="n"/>
    </row>
    <row r="97">
      <c r="A97" s="26" t="n"/>
      <c r="B97" s="22" t="n"/>
      <c r="C97" s="22" t="n"/>
      <c r="D97" s="22" t="n"/>
      <c r="E97" s="22" t="n"/>
      <c r="F97" s="22" t="n"/>
      <c r="G97" s="22" t="n"/>
      <c r="H97" s="22" t="n"/>
      <c r="I97" s="22" t="n"/>
    </row>
    <row r="98">
      <c r="A98" s="26" t="n"/>
      <c r="B98" s="22" t="n"/>
      <c r="C98" s="22" t="n"/>
      <c r="D98" s="22" t="n"/>
      <c r="E98" s="22" t="n"/>
      <c r="F98" s="22" t="n"/>
      <c r="G98" s="22" t="n"/>
      <c r="H98" s="22" t="n"/>
      <c r="I98" s="22" t="n"/>
    </row>
    <row r="99">
      <c r="A99" s="26" t="n"/>
      <c r="B99" s="22" t="n"/>
      <c r="C99" s="22" t="n"/>
      <c r="D99" s="22" t="n"/>
      <c r="E99" s="22" t="n"/>
      <c r="F99" s="22" t="n"/>
      <c r="G99" s="22" t="n"/>
      <c r="H99" s="22" t="n"/>
      <c r="I99" s="22" t="n"/>
    </row>
    <row r="100">
      <c r="A100" s="26" t="n"/>
      <c r="B100" s="22" t="n"/>
      <c r="C100" s="22" t="n"/>
      <c r="D100" s="22" t="n"/>
      <c r="E100" s="22" t="n"/>
      <c r="F100" s="22" t="n"/>
      <c r="G100" s="22" t="n"/>
      <c r="H100" s="22" t="n"/>
      <c r="I100" s="22" t="n"/>
    </row>
    <row r="101">
      <c r="A101" s="26" t="n"/>
      <c r="B101" s="22" t="n"/>
      <c r="C101" s="22" t="n"/>
      <c r="D101" s="22" t="n"/>
      <c r="E101" s="22" t="n"/>
      <c r="F101" s="22" t="n"/>
      <c r="G101" s="22" t="n"/>
      <c r="H101" s="22" t="n"/>
      <c r="I101" s="22" t="n"/>
    </row>
    <row r="102">
      <c r="A102" s="26" t="n"/>
      <c r="B102" s="22" t="n"/>
      <c r="C102" s="22" t="n"/>
      <c r="D102" s="22" t="n"/>
      <c r="E102" s="22" t="n"/>
      <c r="F102" s="22" t="n"/>
      <c r="G102" s="22" t="n"/>
      <c r="H102" s="22" t="n"/>
      <c r="I102" s="22" t="n"/>
    </row>
    <row r="103">
      <c r="A103" s="26" t="n"/>
      <c r="B103" s="22" t="n"/>
      <c r="C103" s="22" t="n"/>
      <c r="D103" s="22" t="n"/>
      <c r="E103" s="22" t="n"/>
      <c r="F103" s="22" t="n"/>
      <c r="G103" s="22" t="n"/>
      <c r="H103" s="22" t="n"/>
      <c r="I103" s="22" t="n"/>
    </row>
    <row r="104">
      <c r="A104" s="26" t="n"/>
      <c r="B104" s="22" t="n"/>
      <c r="C104" s="22" t="n"/>
      <c r="D104" s="22" t="n"/>
      <c r="E104" s="22" t="n"/>
      <c r="F104" s="22" t="n"/>
      <c r="G104" s="22" t="n"/>
      <c r="H104" s="22" t="n"/>
      <c r="I104" s="22" t="n"/>
    </row>
    <row r="105">
      <c r="A105" s="26" t="n"/>
      <c r="B105" s="22" t="n"/>
      <c r="C105" s="22" t="n"/>
      <c r="D105" s="22" t="n"/>
      <c r="E105" s="22" t="n"/>
      <c r="F105" s="22" t="n"/>
      <c r="G105" s="22" t="n"/>
      <c r="H105" s="22" t="n"/>
      <c r="I105" s="22" t="n"/>
    </row>
    <row r="106">
      <c r="A106" s="26" t="n"/>
      <c r="B106" s="22" t="n"/>
      <c r="C106" s="22" t="n"/>
      <c r="D106" s="22" t="n"/>
      <c r="E106" s="22" t="n"/>
      <c r="F106" s="22" t="n"/>
      <c r="G106" s="22" t="n"/>
      <c r="H106" s="22" t="n"/>
      <c r="I106" s="22" t="n"/>
    </row>
    <row r="107">
      <c r="A107" s="26" t="n"/>
      <c r="B107" s="22" t="n"/>
      <c r="C107" s="22" t="n"/>
      <c r="D107" s="22" t="n"/>
      <c r="E107" s="22" t="n"/>
      <c r="F107" s="22" t="n"/>
      <c r="G107" s="22" t="n"/>
      <c r="H107" s="22" t="n"/>
      <c r="I107" s="22" t="n"/>
    </row>
    <row r="108">
      <c r="A108" s="26" t="n"/>
      <c r="B108" s="22" t="n"/>
      <c r="C108" s="22" t="n"/>
      <c r="D108" s="22" t="n"/>
      <c r="E108" s="22" t="n"/>
      <c r="F108" s="22" t="n"/>
      <c r="G108" s="22" t="n"/>
      <c r="H108" s="22" t="n"/>
      <c r="I108" s="22" t="n"/>
    </row>
    <row r="109">
      <c r="A109" s="26" t="n"/>
      <c r="B109" s="22" t="n"/>
      <c r="C109" s="22" t="n"/>
      <c r="D109" s="22" t="n"/>
      <c r="E109" s="22" t="n"/>
      <c r="F109" s="22" t="n"/>
      <c r="G109" s="22" t="n"/>
      <c r="H109" s="22" t="n"/>
      <c r="I109" s="22" t="n"/>
    </row>
    <row r="110">
      <c r="A110" s="26" t="n"/>
      <c r="B110" s="22" t="n"/>
      <c r="C110" s="22" t="n"/>
      <c r="D110" s="22" t="n"/>
      <c r="E110" s="22" t="n"/>
      <c r="F110" s="22" t="n"/>
      <c r="G110" s="22" t="n"/>
      <c r="H110" s="22" t="n"/>
      <c r="I110" s="22" t="n"/>
    </row>
    <row r="111">
      <c r="A111" s="26" t="n"/>
      <c r="B111" s="22" t="n"/>
      <c r="C111" s="22" t="n"/>
      <c r="D111" s="22" t="n"/>
      <c r="E111" s="22" t="n"/>
      <c r="F111" s="22" t="n"/>
      <c r="G111" s="22" t="n"/>
      <c r="H111" s="22" t="n"/>
      <c r="I111" s="22" t="n"/>
    </row>
    <row r="112">
      <c r="A112" s="26" t="n"/>
      <c r="B112" s="22" t="n"/>
      <c r="C112" s="22" t="n"/>
      <c r="D112" s="22" t="n"/>
      <c r="E112" s="22" t="n"/>
      <c r="F112" s="22" t="n"/>
      <c r="G112" s="22" t="n"/>
      <c r="H112" s="22" t="n"/>
      <c r="I112" s="22" t="n"/>
    </row>
    <row r="113">
      <c r="A113" s="26" t="n"/>
      <c r="B113" s="22" t="n"/>
      <c r="C113" s="22" t="n"/>
      <c r="D113" s="22" t="n"/>
      <c r="E113" s="22" t="n"/>
      <c r="F113" s="22" t="n"/>
      <c r="G113" s="22" t="n"/>
      <c r="H113" s="22" t="n"/>
      <c r="I113" s="22" t="n"/>
    </row>
    <row r="114">
      <c r="A114" s="26" t="n"/>
      <c r="B114" s="22" t="n"/>
      <c r="C114" s="22" t="n"/>
      <c r="D114" s="22" t="n"/>
      <c r="E114" s="22" t="n"/>
      <c r="F114" s="22" t="n"/>
      <c r="G114" s="22" t="n"/>
      <c r="H114" s="22" t="n"/>
      <c r="I114" s="22" t="n"/>
    </row>
    <row r="115">
      <c r="A115" s="26" t="n"/>
      <c r="B115" s="22" t="n"/>
      <c r="C115" s="22" t="n"/>
      <c r="D115" s="22" t="n"/>
      <c r="E115" s="22" t="n"/>
      <c r="F115" s="22" t="n"/>
      <c r="G115" s="22" t="n"/>
      <c r="H115" s="22" t="n"/>
      <c r="I115" s="22" t="n"/>
    </row>
    <row r="116">
      <c r="A116" s="26" t="n"/>
      <c r="B116" s="22" t="n"/>
      <c r="C116" s="22" t="n"/>
      <c r="D116" s="22" t="n"/>
      <c r="E116" s="22" t="n"/>
      <c r="F116" s="22" t="n"/>
      <c r="G116" s="22" t="n"/>
      <c r="H116" s="22" t="n"/>
      <c r="I116" s="22" t="n"/>
    </row>
    <row r="117">
      <c r="A117" s="26" t="n"/>
      <c r="B117" s="22" t="n"/>
      <c r="C117" s="22" t="n"/>
      <c r="D117" s="22" t="n"/>
      <c r="E117" s="22" t="n"/>
      <c r="F117" s="22" t="n"/>
      <c r="G117" s="22" t="n"/>
      <c r="H117" s="22" t="n"/>
      <c r="I117" s="22" t="n"/>
    </row>
    <row r="118">
      <c r="A118" s="26" t="n"/>
      <c r="B118" s="22" t="n"/>
      <c r="C118" s="22" t="n"/>
      <c r="D118" s="22" t="n"/>
      <c r="E118" s="22" t="n"/>
      <c r="F118" s="22" t="n"/>
      <c r="G118" s="22" t="n"/>
      <c r="H118" s="22" t="n"/>
      <c r="I118" s="22" t="n"/>
    </row>
    <row r="119">
      <c r="A119" s="26" t="n"/>
      <c r="B119" s="22" t="n"/>
      <c r="C119" s="22" t="n"/>
      <c r="D119" s="22" t="n"/>
      <c r="E119" s="22" t="n"/>
      <c r="F119" s="22" t="n"/>
      <c r="G119" s="22" t="n"/>
      <c r="H119" s="22" t="n"/>
      <c r="I119" s="22" t="n"/>
    </row>
    <row r="120">
      <c r="A120" s="26" t="n"/>
      <c r="B120" s="22" t="n"/>
      <c r="C120" s="22" t="n"/>
      <c r="D120" s="22" t="n"/>
      <c r="E120" s="22" t="n"/>
      <c r="F120" s="22" t="n"/>
      <c r="G120" s="22" t="n"/>
      <c r="H120" s="22" t="n"/>
      <c r="I120" s="22" t="n"/>
    </row>
    <row r="121">
      <c r="A121" s="26" t="n"/>
      <c r="B121" s="22" t="n"/>
      <c r="C121" s="22" t="n"/>
      <c r="D121" s="22" t="n"/>
      <c r="E121" s="22" t="n"/>
      <c r="F121" s="22" t="n"/>
      <c r="G121" s="22" t="n"/>
      <c r="H121" s="22" t="n"/>
      <c r="I121" s="22" t="n"/>
    </row>
    <row r="122">
      <c r="A122" s="26" t="n"/>
      <c r="B122" s="22" t="n"/>
      <c r="C122" s="22" t="n"/>
      <c r="D122" s="22" t="n"/>
      <c r="E122" s="22" t="n"/>
      <c r="F122" s="22" t="n"/>
      <c r="G122" s="22" t="n"/>
      <c r="H122" s="22" t="n"/>
      <c r="I122" s="22" t="n"/>
    </row>
    <row r="123">
      <c r="A123" s="26" t="n"/>
      <c r="B123" s="22" t="n"/>
      <c r="C123" s="22" t="n"/>
      <c r="D123" s="22" t="n"/>
      <c r="E123" s="22" t="n"/>
      <c r="F123" s="22" t="n"/>
      <c r="G123" s="22" t="n"/>
      <c r="H123" s="22" t="n"/>
      <c r="I123" s="22" t="n"/>
    </row>
    <row r="124">
      <c r="A124" s="26" t="n"/>
      <c r="B124" s="22" t="n"/>
      <c r="C124" s="22" t="n"/>
      <c r="D124" s="22" t="n"/>
      <c r="E124" s="22" t="n"/>
      <c r="F124" s="22" t="n"/>
      <c r="G124" s="22" t="n"/>
      <c r="H124" s="22" t="n"/>
      <c r="I124" s="22" t="n"/>
    </row>
    <row r="125">
      <c r="A125" s="26" t="n"/>
      <c r="B125" s="22" t="n"/>
      <c r="C125" s="22" t="n"/>
      <c r="D125" s="22" t="n"/>
      <c r="E125" s="22" t="n"/>
      <c r="F125" s="22" t="n"/>
      <c r="G125" s="22" t="n"/>
      <c r="H125" s="22" t="n"/>
      <c r="I125" s="22" t="n"/>
    </row>
    <row r="126">
      <c r="A126" s="26" t="n"/>
      <c r="B126" s="22" t="n"/>
      <c r="C126" s="22" t="n"/>
      <c r="D126" s="22" t="n"/>
      <c r="E126" s="22" t="n"/>
      <c r="F126" s="22" t="n"/>
      <c r="G126" s="22" t="n"/>
      <c r="H126" s="22" t="n"/>
      <c r="I126" s="22" t="n"/>
    </row>
    <row r="127">
      <c r="A127" s="26" t="n"/>
      <c r="B127" s="22" t="n"/>
      <c r="C127" s="22" t="n"/>
      <c r="D127" s="22" t="n"/>
      <c r="E127" s="22" t="n"/>
      <c r="F127" s="22" t="n"/>
      <c r="G127" s="22" t="n"/>
      <c r="H127" s="22" t="n"/>
      <c r="I127" s="22" t="n"/>
    </row>
    <row r="128">
      <c r="A128" s="26" t="n"/>
      <c r="B128" s="22" t="n"/>
      <c r="C128" s="22" t="n"/>
      <c r="D128" s="22" t="n"/>
      <c r="E128" s="22" t="n"/>
      <c r="F128" s="22" t="n"/>
      <c r="G128" s="22" t="n"/>
      <c r="H128" s="22" t="n"/>
      <c r="I128" s="22" t="n"/>
    </row>
    <row r="129">
      <c r="A129" s="26" t="n"/>
      <c r="B129" s="22" t="n"/>
      <c r="C129" s="22" t="n"/>
      <c r="D129" s="22" t="n"/>
      <c r="E129" s="22" t="n"/>
      <c r="F129" s="22" t="n"/>
      <c r="G129" s="22" t="n"/>
      <c r="H129" s="22" t="n"/>
      <c r="I129" s="22" t="n"/>
    </row>
    <row r="130">
      <c r="A130" s="26" t="n"/>
      <c r="B130" s="22" t="n"/>
      <c r="C130" s="22" t="n"/>
      <c r="D130" s="22" t="n"/>
      <c r="E130" s="22" t="n"/>
      <c r="F130" s="22" t="n"/>
      <c r="G130" s="22" t="n"/>
      <c r="H130" s="22" t="n"/>
      <c r="I130" s="22" t="n"/>
    </row>
    <row r="131">
      <c r="A131" s="26" t="n"/>
      <c r="B131" s="22" t="n"/>
      <c r="C131" s="22" t="n"/>
      <c r="D131" s="22" t="n"/>
      <c r="E131" s="22" t="n"/>
      <c r="F131" s="22" t="n"/>
      <c r="G131" s="22" t="n"/>
      <c r="H131" s="22" t="n"/>
      <c r="I131" s="22" t="n"/>
    </row>
    <row r="132">
      <c r="A132" s="26" t="n"/>
      <c r="B132" s="22" t="n"/>
      <c r="C132" s="22" t="n"/>
      <c r="D132" s="22" t="n"/>
      <c r="E132" s="22" t="n"/>
      <c r="F132" s="22" t="n"/>
      <c r="G132" s="22" t="n"/>
      <c r="H132" s="22" t="n"/>
      <c r="I132" s="22" t="n"/>
    </row>
    <row r="133">
      <c r="A133" s="26" t="n"/>
      <c r="B133" s="22" t="n"/>
      <c r="C133" s="22" t="n"/>
      <c r="D133" s="22" t="n"/>
      <c r="E133" s="22" t="n"/>
      <c r="F133" s="22" t="n"/>
      <c r="G133" s="22" t="n"/>
      <c r="H133" s="22" t="n"/>
      <c r="I133" s="22" t="n"/>
    </row>
    <row r="134">
      <c r="A134" s="26" t="n"/>
      <c r="B134" s="22" t="n"/>
      <c r="C134" s="22" t="n"/>
      <c r="D134" s="22" t="n"/>
      <c r="E134" s="22" t="n"/>
      <c r="F134" s="22" t="n"/>
      <c r="G134" s="22" t="n"/>
      <c r="H134" s="22" t="n"/>
      <c r="I134" s="22" t="n"/>
    </row>
    <row r="135">
      <c r="A135" s="26" t="n"/>
      <c r="B135" s="22" t="n"/>
      <c r="C135" s="22" t="n"/>
      <c r="D135" s="22" t="n"/>
      <c r="E135" s="22" t="n"/>
      <c r="F135" s="22" t="n"/>
      <c r="G135" s="22" t="n"/>
      <c r="H135" s="22" t="n"/>
      <c r="I135" s="22" t="n"/>
    </row>
    <row r="136">
      <c r="A136" s="26" t="n"/>
      <c r="B136" s="22" t="n"/>
      <c r="C136" s="22" t="n"/>
      <c r="D136" s="22" t="n"/>
      <c r="E136" s="22" t="n"/>
      <c r="F136" s="22" t="n"/>
      <c r="G136" s="22" t="n"/>
      <c r="H136" s="22" t="n"/>
      <c r="I136" s="22" t="n"/>
    </row>
    <row r="137">
      <c r="A137" s="26" t="n"/>
      <c r="B137" s="22" t="n"/>
      <c r="C137" s="22" t="n"/>
      <c r="D137" s="22" t="n"/>
      <c r="E137" s="22" t="n"/>
      <c r="F137" s="22" t="n"/>
      <c r="G137" s="22" t="n"/>
      <c r="H137" s="22" t="n"/>
      <c r="I137" s="22" t="n"/>
    </row>
    <row r="138">
      <c r="A138" s="26" t="n"/>
      <c r="B138" s="22" t="n"/>
      <c r="C138" s="22" t="n"/>
      <c r="D138" s="22" t="n"/>
      <c r="E138" s="22" t="n"/>
      <c r="F138" s="22" t="n"/>
      <c r="G138" s="22" t="n"/>
      <c r="H138" s="22" t="n"/>
      <c r="I138" s="22" t="n"/>
    </row>
    <row r="139">
      <c r="A139" s="26" t="n"/>
      <c r="B139" s="22" t="n"/>
      <c r="C139" s="22" t="n"/>
      <c r="D139" s="22" t="n"/>
      <c r="E139" s="22" t="n"/>
      <c r="F139" s="22" t="n"/>
      <c r="G139" s="22" t="n"/>
      <c r="H139" s="22" t="n"/>
      <c r="I139" s="22" t="n"/>
    </row>
    <row r="140">
      <c r="A140" s="26" t="n"/>
      <c r="B140" s="22" t="n"/>
      <c r="C140" s="22" t="n"/>
      <c r="D140" s="22" t="n"/>
      <c r="E140" s="22" t="n"/>
      <c r="F140" s="22" t="n"/>
      <c r="G140" s="22" t="n"/>
      <c r="H140" s="22" t="n"/>
      <c r="I140" s="22" t="n"/>
    </row>
    <row r="141">
      <c r="A141" s="26" t="n"/>
      <c r="B141" s="22" t="n"/>
      <c r="C141" s="22" t="n"/>
      <c r="D141" s="22" t="n"/>
      <c r="E141" s="22" t="n"/>
      <c r="F141" s="22" t="n"/>
      <c r="G141" s="22" t="n"/>
      <c r="H141" s="22" t="n"/>
      <c r="I141" s="22" t="n"/>
    </row>
    <row r="142">
      <c r="A142" s="26" t="n"/>
      <c r="B142" s="22" t="n"/>
      <c r="C142" s="22" t="n"/>
      <c r="D142" s="22" t="n"/>
      <c r="E142" s="22" t="n"/>
      <c r="F142" s="22" t="n"/>
      <c r="G142" s="22" t="n"/>
      <c r="H142" s="22" t="n"/>
      <c r="I142" s="22" t="n"/>
    </row>
    <row r="143">
      <c r="A143" s="26" t="n"/>
      <c r="B143" s="22" t="n"/>
      <c r="C143" s="22" t="n"/>
      <c r="D143" s="22" t="n"/>
      <c r="E143" s="22" t="n"/>
      <c r="F143" s="22" t="n"/>
      <c r="G143" s="22" t="n"/>
      <c r="H143" s="22" t="n"/>
      <c r="I143" s="22" t="n"/>
    </row>
    <row r="144">
      <c r="A144" s="26" t="n"/>
      <c r="B144" s="22" t="n"/>
      <c r="C144" s="22" t="n"/>
      <c r="D144" s="22" t="n"/>
      <c r="E144" s="22" t="n"/>
      <c r="F144" s="22" t="n"/>
      <c r="G144" s="22" t="n"/>
      <c r="H144" s="22" t="n"/>
      <c r="I144" s="22" t="n"/>
    </row>
    <row r="145">
      <c r="A145" s="26" t="n"/>
      <c r="B145" s="22" t="n"/>
      <c r="C145" s="22" t="n"/>
      <c r="D145" s="22" t="n"/>
      <c r="E145" s="22" t="n"/>
      <c r="F145" s="22" t="n"/>
      <c r="G145" s="22" t="n"/>
      <c r="H145" s="22" t="n"/>
      <c r="I145" s="22" t="n"/>
    </row>
    <row r="146">
      <c r="A146" s="26" t="n"/>
      <c r="B146" s="22" t="n"/>
      <c r="C146" s="22" t="n"/>
      <c r="D146" s="22" t="n"/>
      <c r="E146" s="22" t="n"/>
      <c r="F146" s="22" t="n"/>
      <c r="G146" s="22" t="n"/>
      <c r="H146" s="22" t="n"/>
      <c r="I146" s="22" t="n"/>
    </row>
    <row r="147">
      <c r="A147" s="26" t="n"/>
      <c r="B147" s="22" t="n"/>
      <c r="C147" s="22" t="n"/>
      <c r="D147" s="22" t="n"/>
      <c r="E147" s="22" t="n"/>
      <c r="F147" s="22" t="n"/>
      <c r="G147" s="22" t="n"/>
      <c r="H147" s="22" t="n"/>
      <c r="I147" s="22" t="n"/>
    </row>
    <row r="148">
      <c r="A148" s="26" t="n"/>
      <c r="B148" s="22" t="n"/>
      <c r="C148" s="22" t="n"/>
      <c r="D148" s="22" t="n"/>
      <c r="E148" s="22" t="n"/>
      <c r="F148" s="22" t="n"/>
      <c r="G148" s="22" t="n"/>
      <c r="H148" s="22" t="n"/>
      <c r="I148" s="22" t="n"/>
    </row>
    <row r="149">
      <c r="A149" s="26" t="n"/>
      <c r="B149" s="22" t="n"/>
      <c r="C149" s="22" t="n"/>
      <c r="D149" s="22" t="n"/>
      <c r="E149" s="22" t="n"/>
      <c r="F149" s="22" t="n"/>
      <c r="G149" s="22" t="n"/>
      <c r="H149" s="22" t="n"/>
      <c r="I149" s="22" t="n"/>
    </row>
    <row r="150">
      <c r="A150" s="26" t="n"/>
      <c r="B150" s="22" t="n"/>
      <c r="C150" s="22" t="n"/>
      <c r="D150" s="22" t="n"/>
      <c r="E150" s="22" t="n"/>
      <c r="F150" s="22" t="n"/>
      <c r="G150" s="22" t="n"/>
      <c r="H150" s="22" t="n"/>
      <c r="I150" s="22" t="n"/>
    </row>
    <row r="151">
      <c r="A151" s="26" t="n"/>
      <c r="B151" s="22" t="n"/>
      <c r="C151" s="22" t="n"/>
      <c r="D151" s="22" t="n"/>
      <c r="E151" s="22" t="n"/>
      <c r="F151" s="22" t="n"/>
      <c r="G151" s="22" t="n"/>
      <c r="H151" s="22" t="n"/>
      <c r="I151" s="22" t="n"/>
    </row>
    <row r="152">
      <c r="A152" s="26" t="n"/>
      <c r="B152" s="22" t="n"/>
      <c r="C152" s="22" t="n"/>
      <c r="D152" s="22" t="n"/>
      <c r="E152" s="22" t="n"/>
      <c r="F152" s="22" t="n"/>
      <c r="G152" s="22" t="n"/>
      <c r="H152" s="22" t="n"/>
      <c r="I152" s="22" t="n"/>
    </row>
    <row r="153">
      <c r="A153" s="26" t="n"/>
      <c r="B153" s="22" t="n"/>
      <c r="C153" s="22" t="n"/>
      <c r="D153" s="22" t="n"/>
      <c r="E153" s="22" t="n"/>
      <c r="F153" s="22" t="n"/>
      <c r="G153" s="22" t="n"/>
      <c r="H153" s="22" t="n"/>
      <c r="I153" s="22" t="n"/>
    </row>
    <row r="154">
      <c r="A154" s="26" t="n"/>
      <c r="B154" s="22" t="n"/>
      <c r="C154" s="22" t="n"/>
      <c r="D154" s="22" t="n"/>
      <c r="E154" s="22" t="n"/>
      <c r="F154" s="22" t="n"/>
      <c r="G154" s="22" t="n"/>
      <c r="H154" s="22" t="n"/>
      <c r="I154" s="22" t="n"/>
    </row>
    <row r="155">
      <c r="A155" s="26" t="n"/>
      <c r="B155" s="22" t="n"/>
      <c r="C155" s="22" t="n"/>
      <c r="D155" s="22" t="n"/>
      <c r="E155" s="22" t="n"/>
      <c r="F155" s="22" t="n"/>
      <c r="G155" s="22" t="n"/>
      <c r="H155" s="22" t="n"/>
      <c r="I155" s="22" t="n"/>
    </row>
    <row r="156">
      <c r="A156" s="26" t="n"/>
      <c r="B156" s="22" t="n"/>
      <c r="C156" s="22" t="n"/>
      <c r="D156" s="22" t="n"/>
      <c r="E156" s="22" t="n"/>
      <c r="F156" s="22" t="n"/>
      <c r="G156" s="22" t="n"/>
      <c r="H156" s="22" t="n"/>
      <c r="I156" s="22" t="n"/>
    </row>
    <row r="157">
      <c r="A157" s="26" t="n"/>
      <c r="B157" s="22" t="n"/>
      <c r="C157" s="22" t="n"/>
      <c r="D157" s="22" t="n"/>
      <c r="E157" s="22" t="n"/>
      <c r="F157" s="22" t="n"/>
      <c r="G157" s="22" t="n"/>
      <c r="H157" s="22" t="n"/>
      <c r="I157" s="22" t="n"/>
    </row>
    <row r="158">
      <c r="A158" s="26" t="n"/>
      <c r="B158" s="22" t="n"/>
      <c r="C158" s="22" t="n"/>
      <c r="D158" s="22" t="n"/>
      <c r="E158" s="22" t="n"/>
      <c r="F158" s="22" t="n"/>
      <c r="G158" s="22" t="n"/>
      <c r="H158" s="22" t="n"/>
      <c r="I158" s="22" t="n"/>
    </row>
    <row r="159">
      <c r="A159" s="26" t="n"/>
      <c r="B159" s="22" t="n"/>
      <c r="C159" s="22" t="n"/>
      <c r="D159" s="22" t="n"/>
      <c r="E159" s="22" t="n"/>
      <c r="F159" s="22" t="n"/>
      <c r="G159" s="22" t="n"/>
      <c r="H159" s="22" t="n"/>
      <c r="I159" s="22" t="n"/>
    </row>
    <row r="160">
      <c r="A160" s="26" t="n"/>
      <c r="B160" s="22" t="n"/>
      <c r="C160" s="22" t="n"/>
      <c r="D160" s="22" t="n"/>
      <c r="E160" s="22" t="n"/>
      <c r="F160" s="22" t="n"/>
      <c r="G160" s="22" t="n"/>
      <c r="H160" s="22" t="n"/>
      <c r="I160" s="22" t="n"/>
    </row>
    <row r="161">
      <c r="A161" s="26" t="n"/>
      <c r="B161" s="22" t="n"/>
      <c r="C161" s="22" t="n"/>
      <c r="D161" s="22" t="n"/>
      <c r="E161" s="22" t="n"/>
      <c r="F161" s="22" t="n"/>
      <c r="G161" s="22" t="n"/>
      <c r="H161" s="22" t="n"/>
      <c r="I161" s="22" t="n"/>
    </row>
    <row r="162">
      <c r="A162" s="26" t="n"/>
      <c r="B162" s="22" t="n"/>
      <c r="C162" s="22" t="n"/>
      <c r="D162" s="22" t="n"/>
      <c r="E162" s="22" t="n"/>
      <c r="F162" s="22" t="n"/>
      <c r="G162" s="22" t="n"/>
      <c r="H162" s="22" t="n"/>
      <c r="I162" s="22" t="n"/>
    </row>
    <row r="163">
      <c r="A163" s="26" t="n"/>
      <c r="B163" s="22" t="n"/>
      <c r="C163" s="22" t="n"/>
      <c r="D163" s="22" t="n"/>
      <c r="E163" s="22" t="n"/>
      <c r="F163" s="22" t="n"/>
      <c r="G163" s="22" t="n"/>
      <c r="H163" s="22" t="n"/>
      <c r="I163" s="22" t="n"/>
    </row>
    <row r="164">
      <c r="A164" s="26" t="n"/>
      <c r="B164" s="22" t="n"/>
      <c r="C164" s="22" t="n"/>
      <c r="D164" s="22" t="n"/>
      <c r="E164" s="22" t="n"/>
      <c r="F164" s="22" t="n"/>
      <c r="G164" s="22" t="n"/>
      <c r="H164" s="22" t="n"/>
      <c r="I164" s="22" t="n"/>
    </row>
    <row r="165">
      <c r="A165" s="26" t="n"/>
      <c r="B165" s="22" t="n"/>
      <c r="C165" s="22" t="n"/>
      <c r="D165" s="22" t="n"/>
      <c r="E165" s="22" t="n"/>
      <c r="F165" s="22" t="n"/>
      <c r="G165" s="22" t="n"/>
      <c r="H165" s="22" t="n"/>
      <c r="I165" s="22" t="n"/>
    </row>
    <row r="166">
      <c r="A166" s="26" t="n"/>
      <c r="B166" s="22" t="n"/>
      <c r="C166" s="22" t="n"/>
      <c r="D166" s="22" t="n"/>
      <c r="E166" s="22" t="n"/>
      <c r="F166" s="22" t="n"/>
      <c r="G166" s="22" t="n"/>
      <c r="H166" s="22" t="n"/>
      <c r="I166" s="22" t="n"/>
    </row>
    <row r="167">
      <c r="A167" s="26" t="n"/>
      <c r="B167" s="22" t="n"/>
      <c r="C167" s="22" t="n"/>
      <c r="D167" s="22" t="n"/>
      <c r="E167" s="22" t="n"/>
      <c r="F167" s="22" t="n"/>
      <c r="G167" s="22" t="n"/>
      <c r="H167" s="22" t="n"/>
      <c r="I167" s="22" t="n"/>
    </row>
    <row r="168">
      <c r="A168" s="26" t="n"/>
      <c r="B168" s="22" t="n"/>
      <c r="C168" s="22" t="n"/>
      <c r="D168" s="22" t="n"/>
      <c r="E168" s="22" t="n"/>
      <c r="F168" s="22" t="n"/>
      <c r="G168" s="22" t="n"/>
      <c r="H168" s="22" t="n"/>
      <c r="I168" s="22" t="n"/>
    </row>
    <row r="169">
      <c r="A169" s="26" t="n"/>
      <c r="B169" s="22" t="n"/>
      <c r="C169" s="22" t="n"/>
      <c r="D169" s="22" t="n"/>
      <c r="E169" s="22" t="n"/>
      <c r="F169" s="22" t="n"/>
      <c r="G169" s="22" t="n"/>
      <c r="H169" s="22" t="n"/>
      <c r="I169" s="22" t="n"/>
    </row>
    <row r="170">
      <c r="A170" s="26" t="n"/>
      <c r="B170" s="22" t="n"/>
      <c r="C170" s="22" t="n"/>
      <c r="D170" s="22" t="n"/>
      <c r="E170" s="22" t="n"/>
      <c r="F170" s="22" t="n"/>
      <c r="G170" s="22" t="n"/>
      <c r="H170" s="22" t="n"/>
      <c r="I170" s="22" t="n"/>
    </row>
    <row r="171">
      <c r="A171" s="26" t="n"/>
      <c r="B171" s="22" t="n"/>
      <c r="C171" s="22" t="n"/>
      <c r="D171" s="22" t="n"/>
      <c r="E171" s="22" t="n"/>
      <c r="F171" s="22" t="n"/>
      <c r="G171" s="22" t="n"/>
      <c r="H171" s="22" t="n"/>
      <c r="I171" s="22" t="n"/>
    </row>
    <row r="172">
      <c r="A172" s="26" t="n"/>
      <c r="B172" s="22" t="n"/>
      <c r="C172" s="22" t="n"/>
      <c r="D172" s="22" t="n"/>
      <c r="E172" s="22" t="n"/>
      <c r="F172" s="22" t="n"/>
      <c r="G172" s="22" t="n"/>
      <c r="H172" s="22" t="n"/>
      <c r="I172" s="22" t="n"/>
    </row>
    <row r="173">
      <c r="A173" s="26" t="n"/>
      <c r="B173" s="22" t="n"/>
      <c r="C173" s="22" t="n"/>
      <c r="D173" s="22" t="n"/>
      <c r="E173" s="22" t="n"/>
      <c r="F173" s="22" t="n"/>
      <c r="G173" s="22" t="n"/>
      <c r="H173" s="22" t="n"/>
      <c r="I173" s="22" t="n"/>
    </row>
    <row r="174">
      <c r="A174" s="26" t="n"/>
      <c r="B174" s="22" t="n"/>
      <c r="C174" s="22" t="n"/>
      <c r="D174" s="22" t="n"/>
      <c r="E174" s="22" t="n"/>
      <c r="F174" s="22" t="n"/>
      <c r="G174" s="22" t="n"/>
      <c r="H174" s="22" t="n"/>
      <c r="I174" s="22" t="n"/>
    </row>
    <row r="175">
      <c r="A175" s="26" t="n"/>
      <c r="B175" s="22" t="n"/>
      <c r="C175" s="22" t="n"/>
      <c r="D175" s="22" t="n"/>
      <c r="E175" s="22" t="n"/>
      <c r="F175" s="22" t="n"/>
      <c r="G175" s="22" t="n"/>
      <c r="H175" s="22" t="n"/>
      <c r="I175" s="22" t="n"/>
    </row>
    <row r="176">
      <c r="A176" s="26" t="n"/>
      <c r="B176" s="22" t="n"/>
      <c r="C176" s="22" t="n"/>
      <c r="D176" s="22" t="n"/>
      <c r="E176" s="22" t="n"/>
      <c r="F176" s="22" t="n"/>
      <c r="G176" s="22" t="n"/>
      <c r="H176" s="22" t="n"/>
      <c r="I176" s="22" t="n"/>
    </row>
    <row r="177">
      <c r="A177" s="26" t="n"/>
      <c r="B177" s="22" t="n"/>
      <c r="C177" s="22" t="n"/>
      <c r="D177" s="22" t="n"/>
      <c r="E177" s="22" t="n"/>
      <c r="F177" s="22" t="n"/>
      <c r="G177" s="22" t="n"/>
      <c r="H177" s="22" t="n"/>
      <c r="I177" s="22" t="n"/>
    </row>
    <row r="178">
      <c r="A178" s="26" t="n"/>
      <c r="B178" s="22" t="n"/>
      <c r="C178" s="22" t="n"/>
      <c r="D178" s="22" t="n"/>
      <c r="E178" s="22" t="n"/>
      <c r="F178" s="22" t="n"/>
      <c r="G178" s="22" t="n"/>
      <c r="H178" s="22" t="n"/>
      <c r="I178" s="22" t="n"/>
    </row>
    <row r="179">
      <c r="A179" s="26" t="n"/>
      <c r="B179" s="22" t="n"/>
      <c r="C179" s="22" t="n"/>
      <c r="D179" s="22" t="n"/>
      <c r="E179" s="22" t="n"/>
      <c r="F179" s="22" t="n"/>
      <c r="G179" s="22" t="n"/>
      <c r="H179" s="22" t="n"/>
      <c r="I179" s="22" t="n"/>
    </row>
    <row r="180">
      <c r="A180" s="26" t="n"/>
      <c r="B180" s="22" t="n"/>
      <c r="C180" s="22" t="n"/>
      <c r="D180" s="22" t="n"/>
      <c r="E180" s="22" t="n"/>
      <c r="F180" s="22" t="n"/>
      <c r="G180" s="22" t="n"/>
      <c r="H180" s="22" t="n"/>
      <c r="I180" s="22" t="n"/>
    </row>
    <row r="181">
      <c r="A181" s="26" t="n"/>
      <c r="B181" s="22" t="n"/>
      <c r="C181" s="22" t="n"/>
      <c r="D181" s="22" t="n"/>
      <c r="E181" s="22" t="n"/>
      <c r="F181" s="22" t="n"/>
      <c r="G181" s="22" t="n"/>
      <c r="H181" s="22" t="n"/>
      <c r="I181" s="22" t="n"/>
    </row>
    <row r="182">
      <c r="A182" s="26" t="n"/>
      <c r="B182" s="22" t="n"/>
      <c r="C182" s="22" t="n"/>
      <c r="D182" s="22" t="n"/>
      <c r="E182" s="22" t="n"/>
      <c r="F182" s="22" t="n"/>
      <c r="G182" s="22" t="n"/>
      <c r="H182" s="22" t="n"/>
      <c r="I182" s="22" t="n"/>
    </row>
    <row r="183">
      <c r="A183" s="26" t="n"/>
      <c r="B183" s="22" t="n"/>
      <c r="C183" s="22" t="n"/>
      <c r="D183" s="22" t="n"/>
      <c r="E183" s="22" t="n"/>
      <c r="F183" s="22" t="n"/>
      <c r="G183" s="22" t="n"/>
      <c r="H183" s="22" t="n"/>
      <c r="I183" s="22" t="n"/>
    </row>
    <row r="184">
      <c r="A184" s="26" t="n"/>
      <c r="B184" s="22" t="n"/>
      <c r="C184" s="22" t="n"/>
      <c r="D184" s="22" t="n"/>
      <c r="E184" s="22" t="n"/>
      <c r="F184" s="22" t="n"/>
      <c r="G184" s="22" t="n"/>
      <c r="H184" s="22" t="n"/>
      <c r="I184" s="22" t="n"/>
    </row>
    <row r="185">
      <c r="A185" s="26" t="n"/>
      <c r="B185" s="22" t="n"/>
      <c r="C185" s="22" t="n"/>
      <c r="D185" s="22" t="n"/>
      <c r="E185" s="22" t="n"/>
      <c r="F185" s="22" t="n"/>
      <c r="G185" s="22" t="n"/>
      <c r="H185" s="22" t="n"/>
      <c r="I185" s="22" t="n"/>
    </row>
    <row r="186">
      <c r="A186" s="26" t="n"/>
      <c r="B186" s="22" t="n"/>
      <c r="C186" s="22" t="n"/>
      <c r="D186" s="22" t="n"/>
      <c r="E186" s="22" t="n"/>
      <c r="F186" s="22" t="n"/>
      <c r="G186" s="22" t="n"/>
      <c r="H186" s="22" t="n"/>
      <c r="I186" s="22" t="n"/>
    </row>
    <row r="187">
      <c r="A187" s="26" t="n"/>
      <c r="B187" s="22" t="n"/>
      <c r="C187" s="22" t="n"/>
      <c r="D187" s="22" t="n"/>
      <c r="E187" s="22" t="n"/>
      <c r="F187" s="22" t="n"/>
      <c r="G187" s="22" t="n"/>
      <c r="H187" s="22" t="n"/>
      <c r="I187" s="22" t="n"/>
    </row>
    <row r="188">
      <c r="A188" s="26" t="n"/>
      <c r="B188" s="22" t="n"/>
      <c r="C188" s="22" t="n"/>
      <c r="D188" s="22" t="n"/>
      <c r="E188" s="22" t="n"/>
      <c r="F188" s="22" t="n"/>
      <c r="G188" s="22" t="n"/>
      <c r="H188" s="22" t="n"/>
      <c r="I188" s="22" t="n"/>
    </row>
    <row r="189">
      <c r="A189" s="26" t="n"/>
      <c r="B189" s="22" t="n"/>
      <c r="C189" s="22" t="n"/>
      <c r="D189" s="22" t="n"/>
      <c r="E189" s="22" t="n"/>
      <c r="F189" s="22" t="n"/>
      <c r="G189" s="22" t="n"/>
      <c r="H189" s="22" t="n"/>
      <c r="I189" s="22" t="n"/>
    </row>
    <row r="190">
      <c r="A190" s="26" t="n"/>
      <c r="B190" s="22" t="n"/>
      <c r="C190" s="22" t="n"/>
      <c r="D190" s="22" t="n"/>
      <c r="E190" s="22" t="n"/>
      <c r="F190" s="22" t="n"/>
      <c r="G190" s="22" t="n"/>
      <c r="H190" s="22" t="n"/>
      <c r="I190" s="22" t="n"/>
    </row>
    <row r="191">
      <c r="A191" s="26" t="n"/>
      <c r="B191" s="22" t="n"/>
      <c r="C191" s="22" t="n"/>
      <c r="D191" s="22" t="n"/>
      <c r="E191" s="22" t="n"/>
      <c r="F191" s="22" t="n"/>
      <c r="G191" s="22" t="n"/>
      <c r="H191" s="22" t="n"/>
      <c r="I191" s="22" t="n"/>
    </row>
    <row r="192">
      <c r="A192" s="26" t="n"/>
      <c r="B192" s="22" t="n"/>
      <c r="C192" s="22" t="n"/>
      <c r="D192" s="22" t="n"/>
      <c r="E192" s="22" t="n"/>
      <c r="F192" s="22" t="n"/>
      <c r="G192" s="22" t="n"/>
      <c r="H192" s="22" t="n"/>
      <c r="I192" s="22" t="n"/>
    </row>
    <row r="193">
      <c r="A193" s="26" t="n"/>
      <c r="B193" s="22" t="n"/>
      <c r="C193" s="22" t="n"/>
      <c r="D193" s="22" t="n"/>
      <c r="E193" s="22" t="n"/>
      <c r="F193" s="22" t="n"/>
      <c r="G193" s="22" t="n"/>
      <c r="H193" s="22" t="n"/>
      <c r="I193" s="22" t="n"/>
    </row>
    <row r="194">
      <c r="A194" s="26" t="n"/>
      <c r="B194" s="22" t="n"/>
      <c r="C194" s="22" t="n"/>
      <c r="D194" s="22" t="n"/>
      <c r="E194" s="22" t="n"/>
      <c r="F194" s="22" t="n"/>
      <c r="G194" s="22" t="n"/>
      <c r="H194" s="22" t="n"/>
      <c r="I194" s="22" t="n"/>
    </row>
    <row r="195">
      <c r="A195" s="26" t="n"/>
      <c r="B195" s="22" t="n"/>
      <c r="C195" s="22" t="n"/>
      <c r="D195" s="22" t="n"/>
      <c r="E195" s="22" t="n"/>
      <c r="F195" s="22" t="n"/>
      <c r="G195" s="22" t="n"/>
      <c r="H195" s="22" t="n"/>
      <c r="I195" s="22" t="n"/>
    </row>
    <row r="196">
      <c r="A196" s="26" t="n"/>
      <c r="B196" s="22" t="n"/>
      <c r="C196" s="22" t="n"/>
      <c r="D196" s="22" t="n"/>
      <c r="E196" s="22" t="n"/>
      <c r="F196" s="22" t="n"/>
      <c r="G196" s="22" t="n"/>
      <c r="H196" s="22" t="n"/>
      <c r="I196" s="22" t="n"/>
    </row>
    <row r="197">
      <c r="A197" s="26" t="n"/>
      <c r="B197" s="22" t="n"/>
      <c r="C197" s="22" t="n"/>
      <c r="D197" s="22" t="n"/>
      <c r="E197" s="22" t="n"/>
      <c r="F197" s="22" t="n"/>
      <c r="G197" s="22" t="n"/>
      <c r="H197" s="22" t="n"/>
      <c r="I197" s="22" t="n"/>
    </row>
    <row r="198">
      <c r="A198" s="26" t="n"/>
      <c r="B198" s="22" t="n"/>
      <c r="C198" s="22" t="n"/>
      <c r="D198" s="22" t="n"/>
      <c r="E198" s="22" t="n"/>
      <c r="F198" s="22" t="n"/>
      <c r="G198" s="22" t="n"/>
      <c r="H198" s="22" t="n"/>
      <c r="I198" s="22" t="n"/>
    </row>
    <row r="199">
      <c r="A199" s="26" t="n"/>
      <c r="B199" s="22" t="n"/>
      <c r="C199" s="22" t="n"/>
      <c r="D199" s="22" t="n"/>
      <c r="E199" s="22" t="n"/>
      <c r="F199" s="22" t="n"/>
      <c r="G199" s="22" t="n"/>
      <c r="H199" s="22" t="n"/>
      <c r="I199" s="22" t="n"/>
    </row>
    <row r="200">
      <c r="A200" s="26" t="n"/>
      <c r="B200" s="22" t="n"/>
      <c r="C200" s="22" t="n"/>
      <c r="D200" s="22" t="n"/>
      <c r="E200" s="22" t="n"/>
      <c r="F200" s="22" t="n"/>
      <c r="G200" s="22" t="n"/>
      <c r="H200" s="22" t="n"/>
      <c r="I200" s="22" t="n"/>
    </row>
    <row r="201">
      <c r="A201" s="26" t="n"/>
      <c r="B201" s="22" t="n"/>
      <c r="C201" s="22" t="n"/>
      <c r="D201" s="22" t="n"/>
      <c r="E201" s="22" t="n"/>
      <c r="F201" s="22" t="n"/>
      <c r="G201" s="22" t="n"/>
      <c r="H201" s="22" t="n"/>
      <c r="I201" s="22" t="n"/>
    </row>
    <row r="202">
      <c r="A202" s="26" t="n"/>
      <c r="B202" s="22" t="n"/>
      <c r="C202" s="22" t="n"/>
      <c r="D202" s="22" t="n"/>
      <c r="E202" s="22" t="n"/>
      <c r="F202" s="22" t="n"/>
      <c r="G202" s="22" t="n"/>
      <c r="H202" s="22" t="n"/>
      <c r="I202" s="22" t="n"/>
    </row>
    <row r="203">
      <c r="A203" s="26" t="n"/>
      <c r="B203" s="22" t="n"/>
      <c r="C203" s="22" t="n"/>
      <c r="D203" s="22" t="n"/>
      <c r="E203" s="22" t="n"/>
      <c r="F203" s="22" t="n"/>
      <c r="G203" s="22" t="n"/>
      <c r="H203" s="22" t="n"/>
      <c r="I203" s="22" t="n"/>
    </row>
    <row r="204">
      <c r="A204" s="26" t="n"/>
      <c r="B204" s="22" t="n"/>
      <c r="C204" s="22" t="n"/>
      <c r="D204" s="22" t="n"/>
      <c r="E204" s="22" t="n"/>
      <c r="F204" s="22" t="n"/>
      <c r="G204" s="22" t="n"/>
      <c r="H204" s="22" t="n"/>
      <c r="I204" s="22" t="n"/>
    </row>
    <row r="205">
      <c r="A205" s="26" t="n"/>
      <c r="B205" s="22" t="n"/>
      <c r="C205" s="22" t="n"/>
      <c r="D205" s="22" t="n"/>
      <c r="E205" s="22" t="n"/>
      <c r="F205" s="22" t="n"/>
      <c r="G205" s="22" t="n"/>
      <c r="H205" s="22" t="n"/>
      <c r="I205" s="22" t="n"/>
    </row>
    <row r="206">
      <c r="A206" s="26" t="n"/>
      <c r="B206" s="22" t="n"/>
      <c r="C206" s="22" t="n"/>
      <c r="D206" s="22" t="n"/>
      <c r="E206" s="22" t="n"/>
      <c r="F206" s="22" t="n"/>
      <c r="G206" s="22" t="n"/>
      <c r="H206" s="22" t="n"/>
      <c r="I206" s="22" t="n"/>
    </row>
    <row r="207">
      <c r="A207" s="26" t="n"/>
      <c r="B207" s="22" t="n"/>
      <c r="C207" s="22" t="n"/>
      <c r="D207" s="22" t="n"/>
      <c r="E207" s="22" t="n"/>
      <c r="F207" s="22" t="n"/>
      <c r="G207" s="22" t="n"/>
      <c r="H207" s="22" t="n"/>
      <c r="I207" s="22" t="n"/>
    </row>
    <row r="208">
      <c r="A208" s="26" t="n"/>
      <c r="B208" s="22" t="n"/>
      <c r="C208" s="22" t="n"/>
      <c r="D208" s="22" t="n"/>
      <c r="E208" s="22" t="n"/>
      <c r="F208" s="22" t="n"/>
      <c r="G208" s="22" t="n"/>
      <c r="H208" s="22" t="n"/>
      <c r="I208" s="22" t="n"/>
    </row>
    <row r="209">
      <c r="A209" s="26" t="n"/>
      <c r="B209" s="22" t="n"/>
      <c r="C209" s="22" t="n"/>
      <c r="D209" s="22" t="n"/>
      <c r="E209" s="22" t="n"/>
      <c r="F209" s="22" t="n"/>
      <c r="G209" s="22" t="n"/>
      <c r="H209" s="22" t="n"/>
      <c r="I209" s="22" t="n"/>
    </row>
    <row r="210">
      <c r="A210" s="26" t="n"/>
      <c r="B210" s="22" t="n"/>
      <c r="C210" s="22" t="n"/>
      <c r="D210" s="22" t="n"/>
      <c r="E210" s="22" t="n"/>
      <c r="F210" s="22" t="n"/>
      <c r="G210" s="22" t="n"/>
      <c r="H210" s="22" t="n"/>
      <c r="I210" s="22" t="n"/>
    </row>
    <row r="211">
      <c r="A211" s="26" t="n"/>
      <c r="B211" s="22" t="n"/>
      <c r="C211" s="22" t="n"/>
      <c r="D211" s="22" t="n"/>
      <c r="E211" s="22" t="n"/>
      <c r="F211" s="22" t="n"/>
      <c r="G211" s="22" t="n"/>
      <c r="H211" s="22" t="n"/>
      <c r="I211" s="22" t="n"/>
    </row>
    <row r="212">
      <c r="A212" s="26" t="n"/>
      <c r="B212" s="22" t="n"/>
      <c r="C212" s="22" t="n"/>
      <c r="D212" s="22" t="n"/>
      <c r="E212" s="22" t="n"/>
      <c r="F212" s="22" t="n"/>
      <c r="G212" s="22" t="n"/>
      <c r="H212" s="22" t="n"/>
      <c r="I212" s="22" t="n"/>
    </row>
    <row r="213">
      <c r="A213" s="26" t="n"/>
      <c r="B213" s="22" t="n"/>
      <c r="C213" s="22" t="n"/>
      <c r="D213" s="22" t="n"/>
      <c r="E213" s="22" t="n"/>
      <c r="F213" s="22" t="n"/>
      <c r="G213" s="22" t="n"/>
      <c r="H213" s="22" t="n"/>
      <c r="I213" s="22" t="n"/>
    </row>
    <row r="214">
      <c r="A214" s="26" t="n"/>
      <c r="B214" s="22" t="n"/>
      <c r="C214" s="22" t="n"/>
      <c r="D214" s="22" t="n"/>
      <c r="E214" s="22" t="n"/>
      <c r="F214" s="22" t="n"/>
      <c r="G214" s="22" t="n"/>
      <c r="H214" s="22" t="n"/>
      <c r="I214" s="22" t="n"/>
    </row>
    <row r="215">
      <c r="A215" s="26" t="n"/>
      <c r="B215" s="22" t="n"/>
      <c r="C215" s="22" t="n"/>
      <c r="D215" s="22" t="n"/>
      <c r="E215" s="22" t="n"/>
      <c r="F215" s="22" t="n"/>
      <c r="G215" s="22" t="n"/>
      <c r="H215" s="22" t="n"/>
      <c r="I215" s="22" t="n"/>
    </row>
    <row r="216">
      <c r="A216" s="26" t="n"/>
      <c r="B216" s="22" t="n"/>
      <c r="C216" s="22" t="n"/>
      <c r="D216" s="22" t="n"/>
      <c r="E216" s="22" t="n"/>
      <c r="F216" s="22" t="n"/>
      <c r="G216" s="22" t="n"/>
      <c r="H216" s="22" t="n"/>
      <c r="I216" s="22" t="n"/>
    </row>
    <row r="217">
      <c r="A217" s="26" t="n"/>
      <c r="B217" s="22" t="n"/>
      <c r="C217" s="22" t="n"/>
      <c r="D217" s="22" t="n"/>
      <c r="E217" s="22" t="n"/>
      <c r="F217" s="22" t="n"/>
      <c r="G217" s="22" t="n"/>
      <c r="H217" s="22" t="n"/>
      <c r="I217" s="22" t="n"/>
    </row>
    <row r="218">
      <c r="A218" s="26" t="n"/>
      <c r="B218" s="22" t="n"/>
      <c r="C218" s="22" t="n"/>
      <c r="D218" s="22" t="n"/>
      <c r="E218" s="22" t="n"/>
      <c r="F218" s="22" t="n"/>
      <c r="G218" s="22" t="n"/>
      <c r="H218" s="22" t="n"/>
      <c r="I218" s="22" t="n"/>
    </row>
    <row r="219">
      <c r="A219" s="26" t="n"/>
      <c r="B219" s="22" t="n"/>
      <c r="C219" s="22" t="n"/>
      <c r="D219" s="22" t="n"/>
      <c r="E219" s="22" t="n"/>
      <c r="F219" s="22" t="n"/>
      <c r="G219" s="22" t="n"/>
      <c r="H219" s="22" t="n"/>
      <c r="I219" s="22" t="n"/>
    </row>
    <row r="220">
      <c r="A220" s="26" t="n"/>
      <c r="B220" s="22" t="n"/>
      <c r="C220" s="22" t="n"/>
      <c r="D220" s="22" t="n"/>
      <c r="E220" s="22" t="n"/>
      <c r="F220" s="22" t="n"/>
      <c r="G220" s="22" t="n"/>
      <c r="H220" s="22" t="n"/>
      <c r="I220" s="22" t="n"/>
    </row>
    <row r="221">
      <c r="A221" s="26" t="n"/>
      <c r="B221" s="22" t="n"/>
      <c r="C221" s="22" t="n"/>
      <c r="D221" s="22" t="n"/>
      <c r="E221" s="22" t="n"/>
      <c r="F221" s="22" t="n"/>
      <c r="G221" s="22" t="n"/>
      <c r="H221" s="22" t="n"/>
      <c r="I221" s="22" t="n"/>
    </row>
    <row r="222">
      <c r="A222" s="26" t="n"/>
      <c r="B222" s="22" t="n"/>
      <c r="C222" s="22" t="n"/>
      <c r="D222" s="22" t="n"/>
      <c r="E222" s="22" t="n"/>
      <c r="F222" s="22" t="n"/>
      <c r="G222" s="22" t="n"/>
      <c r="H222" s="22" t="n"/>
      <c r="I222" s="22" t="n"/>
    </row>
    <row r="223">
      <c r="A223" s="26" t="n"/>
      <c r="B223" s="22" t="n"/>
      <c r="C223" s="22" t="n"/>
      <c r="D223" s="22" t="n"/>
      <c r="E223" s="22" t="n"/>
      <c r="F223" s="22" t="n"/>
      <c r="G223" s="22" t="n"/>
      <c r="H223" s="22" t="n"/>
      <c r="I223" s="22" t="n"/>
    </row>
    <row r="224">
      <c r="A224" s="26" t="n"/>
      <c r="B224" s="22" t="n"/>
      <c r="C224" s="22" t="n"/>
      <c r="D224" s="22" t="n"/>
      <c r="E224" s="22" t="n"/>
      <c r="F224" s="22" t="n"/>
      <c r="G224" s="22" t="n"/>
      <c r="H224" s="22" t="n"/>
      <c r="I224" s="22" t="n"/>
    </row>
    <row r="225">
      <c r="A225" s="26" t="n"/>
      <c r="B225" s="22" t="n"/>
      <c r="C225" s="22" t="n"/>
      <c r="D225" s="22" t="n"/>
      <c r="E225" s="22" t="n"/>
      <c r="F225" s="22" t="n"/>
      <c r="G225" s="22" t="n"/>
      <c r="H225" s="22" t="n"/>
      <c r="I225" s="22" t="n"/>
    </row>
    <row r="226">
      <c r="A226" s="26" t="n"/>
      <c r="B226" s="22" t="n"/>
      <c r="C226" s="22" t="n"/>
      <c r="D226" s="22" t="n"/>
      <c r="E226" s="22" t="n"/>
      <c r="F226" s="22" t="n"/>
      <c r="G226" s="22" t="n"/>
      <c r="H226" s="22" t="n"/>
      <c r="I226" s="22" t="n"/>
    </row>
    <row r="227">
      <c r="A227" s="26" t="n"/>
      <c r="B227" s="22" t="n"/>
      <c r="C227" s="22" t="n"/>
      <c r="D227" s="22" t="n"/>
      <c r="E227" s="22" t="n"/>
      <c r="F227" s="22" t="n"/>
      <c r="G227" s="22" t="n"/>
      <c r="H227" s="22" t="n"/>
      <c r="I227" s="22" t="n"/>
    </row>
    <row r="228">
      <c r="A228" s="26" t="n"/>
      <c r="B228" s="22" t="n"/>
      <c r="C228" s="22" t="n"/>
      <c r="D228" s="22" t="n"/>
      <c r="E228" s="22" t="n"/>
      <c r="F228" s="22" t="n"/>
      <c r="G228" s="22" t="n"/>
      <c r="H228" s="22" t="n"/>
      <c r="I228" s="22" t="n"/>
    </row>
    <row r="229">
      <c r="A229" s="26" t="n"/>
      <c r="B229" s="22" t="n"/>
      <c r="C229" s="22" t="n"/>
      <c r="D229" s="22" t="n"/>
      <c r="E229" s="22" t="n"/>
      <c r="F229" s="22" t="n"/>
      <c r="G229" s="22" t="n"/>
      <c r="H229" s="22" t="n"/>
      <c r="I229" s="22" t="n"/>
    </row>
    <row r="230">
      <c r="A230" s="26" t="n"/>
      <c r="B230" s="22" t="n"/>
      <c r="C230" s="22" t="n"/>
      <c r="D230" s="22" t="n"/>
      <c r="E230" s="22" t="n"/>
      <c r="F230" s="22" t="n"/>
      <c r="G230" s="22" t="n"/>
      <c r="H230" s="22" t="n"/>
      <c r="I230" s="22" t="n"/>
    </row>
    <row r="231">
      <c r="A231" s="26" t="n"/>
      <c r="B231" s="22" t="n"/>
      <c r="C231" s="22" t="n"/>
      <c r="D231" s="22" t="n"/>
      <c r="E231" s="22" t="n"/>
      <c r="F231" s="22" t="n"/>
      <c r="G231" s="22" t="n"/>
      <c r="H231" s="22" t="n"/>
      <c r="I231" s="22" t="n"/>
    </row>
    <row r="232">
      <c r="A232" s="26" t="n"/>
      <c r="B232" s="22" t="n"/>
      <c r="C232" s="22" t="n"/>
      <c r="D232" s="22" t="n"/>
      <c r="E232" s="22" t="n"/>
      <c r="F232" s="22" t="n"/>
      <c r="G232" s="22" t="n"/>
      <c r="H232" s="22" t="n"/>
      <c r="I232" s="22" t="n"/>
    </row>
    <row r="233">
      <c r="A233" s="26" t="n"/>
      <c r="B233" s="22" t="n"/>
      <c r="C233" s="22" t="n"/>
      <c r="D233" s="22" t="n"/>
      <c r="E233" s="22" t="n"/>
      <c r="F233" s="22" t="n"/>
      <c r="G233" s="22" t="n"/>
      <c r="H233" s="22" t="n"/>
      <c r="I233" s="22" t="n"/>
    </row>
    <row r="234">
      <c r="A234" s="26" t="n"/>
      <c r="B234" s="22" t="n"/>
      <c r="C234" s="22" t="n"/>
      <c r="D234" s="22" t="n"/>
      <c r="E234" s="22" t="n"/>
      <c r="F234" s="22" t="n"/>
      <c r="G234" s="22" t="n"/>
      <c r="H234" s="22" t="n"/>
      <c r="I234" s="22" t="n"/>
    </row>
    <row r="235">
      <c r="A235" s="26" t="n"/>
      <c r="B235" s="22" t="n"/>
      <c r="C235" s="22" t="n"/>
      <c r="D235" s="22" t="n"/>
      <c r="E235" s="22" t="n"/>
      <c r="F235" s="22" t="n"/>
      <c r="G235" s="22" t="n"/>
      <c r="H235" s="22" t="n"/>
      <c r="I235" s="22" t="n"/>
    </row>
    <row r="236">
      <c r="A236" s="26" t="n"/>
      <c r="B236" s="22" t="n"/>
      <c r="C236" s="22" t="n"/>
      <c r="D236" s="22" t="n"/>
      <c r="E236" s="22" t="n"/>
      <c r="F236" s="22" t="n"/>
      <c r="G236" s="22" t="n"/>
      <c r="H236" s="22" t="n"/>
      <c r="I236" s="22" t="n"/>
    </row>
    <row r="237">
      <c r="A237" s="26" t="n"/>
      <c r="B237" s="22" t="n"/>
      <c r="C237" s="22" t="n"/>
      <c r="D237" s="22" t="n"/>
      <c r="E237" s="22" t="n"/>
      <c r="F237" s="22" t="n"/>
      <c r="G237" s="22" t="n"/>
      <c r="H237" s="22" t="n"/>
      <c r="I237" s="22" t="n"/>
    </row>
    <row r="238">
      <c r="A238" s="26" t="n"/>
      <c r="B238" s="22" t="n"/>
      <c r="C238" s="22" t="n"/>
      <c r="D238" s="22" t="n"/>
      <c r="E238" s="22" t="n"/>
      <c r="F238" s="22" t="n"/>
      <c r="G238" s="22" t="n"/>
      <c r="H238" s="22" t="n"/>
      <c r="I238" s="22" t="n"/>
    </row>
    <row r="239">
      <c r="A239" s="26" t="n"/>
      <c r="B239" s="22" t="n"/>
      <c r="C239" s="22" t="n"/>
      <c r="D239" s="22" t="n"/>
      <c r="E239" s="22" t="n"/>
      <c r="F239" s="22" t="n"/>
      <c r="G239" s="22" t="n"/>
      <c r="H239" s="22" t="n"/>
      <c r="I239" s="22" t="n"/>
    </row>
    <row r="240">
      <c r="A240" s="26" t="n"/>
      <c r="B240" s="22" t="n"/>
      <c r="C240" s="22" t="n"/>
      <c r="D240" s="22" t="n"/>
      <c r="E240" s="22" t="n"/>
      <c r="F240" s="22" t="n"/>
      <c r="G240" s="22" t="n"/>
      <c r="H240" s="22" t="n"/>
      <c r="I240" s="22" t="n"/>
    </row>
    <row r="241">
      <c r="A241" s="26" t="n"/>
      <c r="B241" s="22" t="n"/>
      <c r="C241" s="22" t="n"/>
      <c r="D241" s="22" t="n"/>
      <c r="E241" s="22" t="n"/>
      <c r="F241" s="22" t="n"/>
      <c r="G241" s="22" t="n"/>
      <c r="H241" s="22" t="n"/>
      <c r="I241" s="22" t="n"/>
    </row>
    <row r="242">
      <c r="A242" s="26" t="n"/>
      <c r="B242" s="22" t="n"/>
      <c r="C242" s="22" t="n"/>
      <c r="D242" s="22" t="n"/>
      <c r="E242" s="22" t="n"/>
      <c r="F242" s="22" t="n"/>
      <c r="G242" s="22" t="n"/>
      <c r="H242" s="22" t="n"/>
      <c r="I242" s="22" t="n"/>
    </row>
    <row r="243">
      <c r="A243" s="26" t="n"/>
      <c r="B243" s="22" t="n"/>
      <c r="C243" s="22" t="n"/>
      <c r="D243" s="22" t="n"/>
      <c r="E243" s="22" t="n"/>
      <c r="F243" s="22" t="n"/>
      <c r="G243" s="22" t="n"/>
      <c r="H243" s="22" t="n"/>
      <c r="I243" s="22" t="n"/>
    </row>
    <row r="244">
      <c r="A244" s="26" t="n"/>
      <c r="B244" s="22" t="n"/>
      <c r="C244" s="22" t="n"/>
      <c r="D244" s="22" t="n"/>
      <c r="E244" s="22" t="n"/>
      <c r="F244" s="22" t="n"/>
      <c r="G244" s="22" t="n"/>
      <c r="H244" s="22" t="n"/>
      <c r="I244" s="22" t="n"/>
    </row>
    <row r="245">
      <c r="A245" s="26" t="n"/>
      <c r="B245" s="22" t="n"/>
      <c r="C245" s="22" t="n"/>
      <c r="D245" s="22" t="n"/>
      <c r="E245" s="22" t="n"/>
      <c r="F245" s="22" t="n"/>
      <c r="G245" s="22" t="n"/>
      <c r="H245" s="22" t="n"/>
      <c r="I245" s="22" t="n"/>
    </row>
    <row r="246">
      <c r="A246" s="26" t="n"/>
      <c r="B246" s="22" t="n"/>
      <c r="C246" s="22" t="n"/>
      <c r="D246" s="22" t="n"/>
      <c r="E246" s="22" t="n"/>
      <c r="F246" s="22" t="n"/>
      <c r="G246" s="22" t="n"/>
      <c r="H246" s="22" t="n"/>
      <c r="I246" s="22" t="n"/>
    </row>
    <row r="247">
      <c r="A247" s="26" t="n"/>
      <c r="B247" s="22" t="n"/>
      <c r="C247" s="22" t="n"/>
      <c r="D247" s="22" t="n"/>
      <c r="E247" s="22" t="n"/>
      <c r="F247" s="22" t="n"/>
      <c r="G247" s="22" t="n"/>
      <c r="H247" s="22" t="n"/>
      <c r="I247" s="22" t="n"/>
    </row>
    <row r="248">
      <c r="A248" s="26" t="n"/>
      <c r="B248" s="22" t="n"/>
      <c r="C248" s="22" t="n"/>
      <c r="D248" s="22" t="n"/>
      <c r="E248" s="22" t="n"/>
      <c r="F248" s="22" t="n"/>
      <c r="G248" s="22" t="n"/>
      <c r="H248" s="22" t="n"/>
      <c r="I248" s="22" t="n"/>
    </row>
    <row r="249">
      <c r="A249" s="26" t="n"/>
      <c r="B249" s="22" t="n"/>
      <c r="C249" s="22" t="n"/>
      <c r="D249" s="22" t="n"/>
      <c r="E249" s="22" t="n"/>
      <c r="F249" s="22" t="n"/>
      <c r="G249" s="22" t="n"/>
      <c r="H249" s="22" t="n"/>
      <c r="I249" s="22" t="n"/>
    </row>
    <row r="250">
      <c r="A250" s="26" t="n"/>
      <c r="B250" s="22" t="n"/>
      <c r="C250" s="22" t="n"/>
      <c r="D250" s="22" t="n"/>
      <c r="E250" s="22" t="n"/>
      <c r="F250" s="22" t="n"/>
      <c r="G250" s="22" t="n"/>
      <c r="H250" s="22" t="n"/>
      <c r="I250" s="22" t="n"/>
    </row>
    <row r="251">
      <c r="A251" s="26" t="n"/>
      <c r="B251" s="22" t="n"/>
      <c r="C251" s="22" t="n"/>
      <c r="D251" s="22" t="n"/>
      <c r="E251" s="22" t="n"/>
      <c r="F251" s="22" t="n"/>
      <c r="G251" s="22" t="n"/>
      <c r="H251" s="22" t="n"/>
      <c r="I251" s="22" t="n"/>
    </row>
    <row r="252">
      <c r="A252" s="26" t="n"/>
      <c r="B252" s="22" t="n"/>
      <c r="C252" s="22" t="n"/>
      <c r="D252" s="22" t="n"/>
      <c r="E252" s="22" t="n"/>
      <c r="F252" s="22" t="n"/>
      <c r="G252" s="22" t="n"/>
      <c r="H252" s="22" t="n"/>
      <c r="I252" s="22" t="n"/>
    </row>
    <row r="253">
      <c r="A253" s="26" t="n"/>
      <c r="B253" s="22" t="n"/>
      <c r="C253" s="22" t="n"/>
      <c r="D253" s="22" t="n"/>
      <c r="E253" s="22" t="n"/>
      <c r="F253" s="22" t="n"/>
      <c r="G253" s="22" t="n"/>
      <c r="H253" s="22" t="n"/>
      <c r="I253" s="22" t="n"/>
    </row>
    <row r="254">
      <c r="A254" s="26" t="n"/>
      <c r="B254" s="22" t="n"/>
      <c r="C254" s="22" t="n"/>
      <c r="D254" s="22" t="n"/>
      <c r="E254" s="22" t="n"/>
      <c r="F254" s="22" t="n"/>
      <c r="G254" s="22" t="n"/>
      <c r="H254" s="22" t="n"/>
      <c r="I254" s="22" t="n"/>
    </row>
    <row r="255">
      <c r="A255" s="26" t="n"/>
      <c r="B255" s="22" t="n"/>
      <c r="C255" s="22" t="n"/>
      <c r="D255" s="22" t="n"/>
      <c r="E255" s="22" t="n"/>
      <c r="F255" s="22" t="n"/>
      <c r="G255" s="22" t="n"/>
      <c r="H255" s="22" t="n"/>
      <c r="I255" s="22" t="n"/>
    </row>
    <row r="256">
      <c r="A256" s="26" t="n"/>
      <c r="B256" s="22" t="n"/>
      <c r="C256" s="22" t="n"/>
      <c r="D256" s="22" t="n"/>
      <c r="E256" s="22" t="n"/>
      <c r="F256" s="22" t="n"/>
      <c r="G256" s="22" t="n"/>
      <c r="H256" s="22" t="n"/>
      <c r="I256" s="22" t="n"/>
    </row>
    <row r="257">
      <c r="A257" s="26" t="n"/>
      <c r="B257" s="22" t="n"/>
      <c r="C257" s="22" t="n"/>
      <c r="D257" s="22" t="n"/>
      <c r="E257" s="22" t="n"/>
      <c r="F257" s="22" t="n"/>
      <c r="G257" s="22" t="n"/>
      <c r="H257" s="22" t="n"/>
      <c r="I257" s="22" t="n"/>
    </row>
    <row r="258">
      <c r="A258" s="26" t="n"/>
      <c r="B258" s="22" t="n"/>
      <c r="C258" s="22" t="n"/>
      <c r="D258" s="22" t="n"/>
      <c r="E258" s="22" t="n"/>
      <c r="F258" s="22" t="n"/>
      <c r="G258" s="22" t="n"/>
      <c r="H258" s="22" t="n"/>
      <c r="I258" s="22" t="n"/>
    </row>
    <row r="259">
      <c r="A259" s="26" t="n"/>
      <c r="B259" s="22" t="n"/>
      <c r="C259" s="22" t="n"/>
      <c r="D259" s="22" t="n"/>
      <c r="E259" s="22" t="n"/>
      <c r="F259" s="22" t="n"/>
      <c r="G259" s="22" t="n"/>
      <c r="H259" s="22" t="n"/>
      <c r="I259" s="22" t="n"/>
    </row>
    <row r="260">
      <c r="A260" s="26" t="n"/>
      <c r="B260" s="22" t="n"/>
      <c r="C260" s="22" t="n"/>
      <c r="D260" s="22" t="n"/>
      <c r="E260" s="22" t="n"/>
      <c r="F260" s="22" t="n"/>
      <c r="G260" s="22" t="n"/>
      <c r="H260" s="22" t="n"/>
      <c r="I260" s="22" t="n"/>
    </row>
    <row r="261">
      <c r="A261" s="26" t="n"/>
      <c r="B261" s="22" t="n"/>
      <c r="C261" s="22" t="n"/>
      <c r="D261" s="22" t="n"/>
      <c r="E261" s="22" t="n"/>
      <c r="F261" s="22" t="n"/>
      <c r="G261" s="22" t="n"/>
      <c r="H261" s="22" t="n"/>
      <c r="I261" s="22" t="n"/>
    </row>
    <row r="262">
      <c r="A262" s="26" t="n"/>
      <c r="B262" s="22" t="n"/>
      <c r="C262" s="22" t="n"/>
      <c r="D262" s="22" t="n"/>
      <c r="E262" s="22" t="n"/>
      <c r="F262" s="22" t="n"/>
      <c r="G262" s="22" t="n"/>
      <c r="H262" s="22" t="n"/>
      <c r="I262" s="22" t="n"/>
    </row>
    <row r="263">
      <c r="A263" s="26" t="n"/>
      <c r="B263" s="22" t="n"/>
      <c r="C263" s="22" t="n"/>
      <c r="D263" s="22" t="n"/>
      <c r="E263" s="22" t="n"/>
      <c r="F263" s="22" t="n"/>
      <c r="G263" s="22" t="n"/>
      <c r="H263" s="22" t="n"/>
      <c r="I263" s="22" t="n"/>
    </row>
    <row r="264">
      <c r="A264" s="26" t="n"/>
      <c r="B264" s="22" t="n"/>
      <c r="C264" s="22" t="n"/>
      <c r="D264" s="22" t="n"/>
      <c r="E264" s="22" t="n"/>
      <c r="F264" s="22" t="n"/>
      <c r="G264" s="22" t="n"/>
      <c r="H264" s="22" t="n"/>
      <c r="I264" s="22" t="n"/>
    </row>
    <row r="265">
      <c r="A265" s="26" t="n"/>
      <c r="B265" s="22" t="n"/>
      <c r="C265" s="22" t="n"/>
      <c r="D265" s="22" t="n"/>
      <c r="E265" s="22" t="n"/>
      <c r="F265" s="22" t="n"/>
      <c r="G265" s="22" t="n"/>
      <c r="H265" s="22" t="n"/>
      <c r="I265" s="22" t="n"/>
    </row>
    <row r="266">
      <c r="A266" s="26" t="n"/>
      <c r="B266" s="22" t="n"/>
      <c r="C266" s="22" t="n"/>
      <c r="D266" s="22" t="n"/>
      <c r="E266" s="22" t="n"/>
      <c r="F266" s="22" t="n"/>
      <c r="G266" s="22" t="n"/>
      <c r="H266" s="22" t="n"/>
      <c r="I266" s="22" t="n"/>
    </row>
    <row r="267">
      <c r="A267" s="26" t="n"/>
      <c r="B267" s="22" t="n"/>
      <c r="C267" s="22" t="n"/>
      <c r="D267" s="22" t="n"/>
      <c r="E267" s="22" t="n"/>
      <c r="F267" s="22" t="n"/>
      <c r="G267" s="22" t="n"/>
      <c r="H267" s="22" t="n"/>
      <c r="I267" s="22" t="n"/>
    </row>
    <row r="268">
      <c r="A268" s="26" t="n"/>
      <c r="B268" s="22" t="n"/>
      <c r="C268" s="22" t="n"/>
      <c r="D268" s="22" t="n"/>
      <c r="E268" s="22" t="n"/>
      <c r="F268" s="22" t="n"/>
      <c r="G268" s="22" t="n"/>
      <c r="H268" s="22" t="n"/>
      <c r="I268" s="22" t="n"/>
    </row>
    <row r="269">
      <c r="A269" s="26" t="n"/>
      <c r="B269" s="22" t="n"/>
      <c r="C269" s="22" t="n"/>
      <c r="D269" s="22" t="n"/>
      <c r="E269" s="22" t="n"/>
      <c r="F269" s="22" t="n"/>
      <c r="G269" s="22" t="n"/>
      <c r="H269" s="22" t="n"/>
      <c r="I269" s="22" t="n"/>
    </row>
    <row r="270">
      <c r="A270" s="26" t="n"/>
      <c r="B270" s="22" t="n"/>
      <c r="C270" s="22" t="n"/>
      <c r="D270" s="22" t="n"/>
      <c r="E270" s="22" t="n"/>
      <c r="F270" s="22" t="n"/>
      <c r="G270" s="22" t="n"/>
      <c r="H270" s="22" t="n"/>
      <c r="I270" s="22" t="n"/>
    </row>
    <row r="271">
      <c r="A271" s="26" t="n"/>
      <c r="B271" s="22" t="n"/>
      <c r="C271" s="22" t="n"/>
      <c r="D271" s="22" t="n"/>
      <c r="E271" s="22" t="n"/>
      <c r="F271" s="22" t="n"/>
      <c r="G271" s="22" t="n"/>
      <c r="H271" s="22" t="n"/>
      <c r="I271" s="22" t="n"/>
    </row>
    <row r="272">
      <c r="A272" s="26" t="n"/>
      <c r="B272" s="22" t="n"/>
      <c r="C272" s="22" t="n"/>
      <c r="D272" s="22" t="n"/>
      <c r="E272" s="22" t="n"/>
      <c r="F272" s="22" t="n"/>
      <c r="G272" s="22" t="n"/>
      <c r="H272" s="22" t="n"/>
      <c r="I272" s="22" t="n"/>
    </row>
    <row r="273">
      <c r="A273" s="26" t="n"/>
      <c r="B273" s="22" t="n"/>
      <c r="C273" s="22" t="n"/>
      <c r="D273" s="22" t="n"/>
      <c r="E273" s="22" t="n"/>
      <c r="F273" s="22" t="n"/>
      <c r="G273" s="22" t="n"/>
      <c r="H273" s="22" t="n"/>
      <c r="I273" s="22" t="n"/>
    </row>
    <row r="274">
      <c r="A274" s="26" t="n"/>
      <c r="B274" s="22" t="n"/>
      <c r="C274" s="22" t="n"/>
      <c r="D274" s="22" t="n"/>
      <c r="E274" s="22" t="n"/>
      <c r="F274" s="22" t="n"/>
      <c r="G274" s="22" t="n"/>
      <c r="H274" s="22" t="n"/>
      <c r="I274" s="22" t="n"/>
    </row>
    <row r="275">
      <c r="A275" s="26" t="n"/>
      <c r="B275" s="22" t="n"/>
      <c r="C275" s="22" t="n"/>
      <c r="D275" s="22" t="n"/>
      <c r="E275" s="22" t="n"/>
      <c r="F275" s="22" t="n"/>
      <c r="G275" s="22" t="n"/>
      <c r="H275" s="22" t="n"/>
      <c r="I275" s="22" t="n"/>
    </row>
    <row r="276">
      <c r="A276" s="26" t="n"/>
      <c r="B276" s="22" t="n"/>
      <c r="C276" s="22" t="n"/>
      <c r="D276" s="22" t="n"/>
      <c r="E276" s="22" t="n"/>
      <c r="F276" s="22" t="n"/>
      <c r="G276" s="22" t="n"/>
      <c r="H276" s="22" t="n"/>
      <c r="I276" s="22" t="n"/>
    </row>
    <row r="277">
      <c r="A277" s="26" t="n"/>
      <c r="B277" s="22" t="n"/>
      <c r="C277" s="22" t="n"/>
      <c r="D277" s="22" t="n"/>
      <c r="E277" s="22" t="n"/>
      <c r="F277" s="22" t="n"/>
      <c r="G277" s="22" t="n"/>
      <c r="H277" s="22" t="n"/>
      <c r="I277" s="22" t="n"/>
    </row>
    <row r="278">
      <c r="A278" s="26" t="n"/>
      <c r="B278" s="22" t="n"/>
      <c r="C278" s="22" t="n"/>
      <c r="D278" s="22" t="n"/>
      <c r="E278" s="22" t="n"/>
      <c r="F278" s="22" t="n"/>
      <c r="G278" s="22" t="n"/>
      <c r="H278" s="22" t="n"/>
      <c r="I278" s="22" t="n"/>
    </row>
    <row r="279">
      <c r="A279" s="26" t="n"/>
      <c r="B279" s="22" t="n"/>
      <c r="C279" s="22" t="n"/>
      <c r="D279" s="22" t="n"/>
      <c r="E279" s="22" t="n"/>
      <c r="F279" s="22" t="n"/>
      <c r="G279" s="22" t="n"/>
      <c r="H279" s="22" t="n"/>
      <c r="I279" s="22" t="n"/>
    </row>
    <row r="280">
      <c r="A280" s="26" t="n"/>
      <c r="B280" s="22" t="n"/>
      <c r="C280" s="22" t="n"/>
      <c r="D280" s="22" t="n"/>
      <c r="E280" s="22" t="n"/>
      <c r="F280" s="22" t="n"/>
      <c r="G280" s="22" t="n"/>
      <c r="H280" s="22" t="n"/>
      <c r="I280" s="22" t="n"/>
    </row>
    <row r="281">
      <c r="A281" s="26" t="n"/>
      <c r="B281" s="22" t="n"/>
      <c r="C281" s="22" t="n"/>
      <c r="D281" s="22" t="n"/>
      <c r="E281" s="22" t="n"/>
      <c r="F281" s="22" t="n"/>
      <c r="G281" s="22" t="n"/>
      <c r="H281" s="22" t="n"/>
      <c r="I281" s="22" t="n"/>
    </row>
    <row r="282">
      <c r="A282" s="26" t="n"/>
      <c r="B282" s="22" t="n"/>
      <c r="C282" s="22" t="n"/>
      <c r="D282" s="22" t="n"/>
      <c r="E282" s="22" t="n"/>
      <c r="F282" s="22" t="n"/>
      <c r="G282" s="22" t="n"/>
      <c r="H282" s="22" t="n"/>
      <c r="I282" s="22" t="n"/>
    </row>
    <row r="283">
      <c r="A283" s="26" t="n"/>
      <c r="B283" s="22" t="n"/>
      <c r="C283" s="22" t="n"/>
      <c r="D283" s="22" t="n"/>
      <c r="E283" s="22" t="n"/>
      <c r="F283" s="22" t="n"/>
      <c r="G283" s="22" t="n"/>
      <c r="H283" s="22" t="n"/>
      <c r="I283" s="22" t="n"/>
    </row>
    <row r="284">
      <c r="A284" s="26" t="n"/>
      <c r="B284" s="22" t="n"/>
      <c r="C284" s="22" t="n"/>
      <c r="D284" s="22" t="n"/>
      <c r="E284" s="22" t="n"/>
      <c r="F284" s="22" t="n"/>
      <c r="G284" s="22" t="n"/>
      <c r="H284" s="22" t="n"/>
      <c r="I284" s="22" t="n"/>
    </row>
    <row r="285">
      <c r="A285" s="26" t="n"/>
      <c r="B285" s="22" t="n"/>
      <c r="C285" s="22" t="n"/>
      <c r="D285" s="22" t="n"/>
      <c r="E285" s="22" t="n"/>
      <c r="F285" s="22" t="n"/>
      <c r="G285" s="22" t="n"/>
      <c r="H285" s="22" t="n"/>
      <c r="I285" s="22" t="n"/>
    </row>
    <row r="286">
      <c r="A286" s="26" t="n"/>
      <c r="B286" s="22" t="n"/>
      <c r="C286" s="22" t="n"/>
      <c r="D286" s="22" t="n"/>
      <c r="E286" s="22" t="n"/>
      <c r="F286" s="22" t="n"/>
      <c r="G286" s="22" t="n"/>
      <c r="H286" s="22" t="n"/>
      <c r="I286" s="22" t="n"/>
    </row>
    <row r="287">
      <c r="A287" s="26" t="n"/>
      <c r="B287" s="22" t="n"/>
      <c r="C287" s="22" t="n"/>
      <c r="D287" s="22" t="n"/>
      <c r="E287" s="22" t="n"/>
      <c r="F287" s="22" t="n"/>
      <c r="G287" s="22" t="n"/>
      <c r="H287" s="22" t="n"/>
      <c r="I287" s="22" t="n"/>
    </row>
    <row r="288">
      <c r="A288" s="26" t="n"/>
      <c r="B288" s="22" t="n"/>
      <c r="C288" s="22" t="n"/>
      <c r="D288" s="22" t="n"/>
      <c r="E288" s="22" t="n"/>
      <c r="F288" s="22" t="n"/>
      <c r="G288" s="22" t="n"/>
      <c r="H288" s="22" t="n"/>
      <c r="I288" s="22" t="n"/>
    </row>
    <row r="289">
      <c r="A289" s="26" t="n"/>
      <c r="B289" s="22" t="n"/>
      <c r="C289" s="22" t="n"/>
      <c r="D289" s="22" t="n"/>
      <c r="E289" s="22" t="n"/>
      <c r="F289" s="22" t="n"/>
      <c r="G289" s="22" t="n"/>
      <c r="H289" s="22" t="n"/>
      <c r="I289" s="22" t="n"/>
    </row>
    <row r="290">
      <c r="A290" s="26" t="n"/>
      <c r="B290" s="22" t="n"/>
      <c r="C290" s="22" t="n"/>
      <c r="D290" s="22" t="n"/>
      <c r="E290" s="22" t="n"/>
      <c r="F290" s="22" t="n"/>
      <c r="G290" s="22" t="n"/>
      <c r="H290" s="22" t="n"/>
      <c r="I290" s="22" t="n"/>
    </row>
    <row r="291">
      <c r="A291" s="26" t="n"/>
      <c r="B291" s="22" t="n"/>
      <c r="C291" s="22" t="n"/>
      <c r="D291" s="22" t="n"/>
      <c r="E291" s="22" t="n"/>
      <c r="F291" s="22" t="n"/>
      <c r="G291" s="22" t="n"/>
      <c r="H291" s="22" t="n"/>
      <c r="I291" s="22" t="n"/>
    </row>
    <row r="292">
      <c r="A292" s="26" t="n"/>
      <c r="B292" s="22" t="n"/>
      <c r="C292" s="22" t="n"/>
      <c r="D292" s="22" t="n"/>
      <c r="E292" s="22" t="n"/>
      <c r="F292" s="22" t="n"/>
      <c r="G292" s="22" t="n"/>
      <c r="H292" s="22" t="n"/>
      <c r="I292" s="22" t="n"/>
    </row>
    <row r="293">
      <c r="A293" s="26" t="n"/>
      <c r="B293" s="22" t="n"/>
      <c r="C293" s="22" t="n"/>
      <c r="D293" s="22" t="n"/>
      <c r="E293" s="22" t="n"/>
      <c r="F293" s="22" t="n"/>
      <c r="G293" s="22" t="n"/>
      <c r="H293" s="22" t="n"/>
      <c r="I293" s="22" t="n"/>
    </row>
    <row r="294">
      <c r="A294" s="26" t="n"/>
      <c r="B294" s="22" t="n"/>
      <c r="C294" s="22" t="n"/>
      <c r="D294" s="22" t="n"/>
      <c r="E294" s="22" t="n"/>
      <c r="F294" s="22" t="n"/>
      <c r="G294" s="22" t="n"/>
      <c r="H294" s="22" t="n"/>
      <c r="I294" s="22" t="n"/>
    </row>
    <row r="295">
      <c r="A295" s="26" t="n"/>
      <c r="B295" s="22" t="n"/>
      <c r="C295" s="22" t="n"/>
      <c r="D295" s="22" t="n"/>
      <c r="E295" s="22" t="n"/>
      <c r="F295" s="22" t="n"/>
      <c r="G295" s="22" t="n"/>
      <c r="H295" s="22" t="n"/>
      <c r="I295" s="22" t="n"/>
    </row>
    <row r="296">
      <c r="A296" s="26" t="n"/>
      <c r="B296" s="22" t="n"/>
      <c r="C296" s="22" t="n"/>
      <c r="D296" s="22" t="n"/>
      <c r="E296" s="22" t="n"/>
      <c r="F296" s="22" t="n"/>
      <c r="G296" s="22" t="n"/>
      <c r="H296" s="22" t="n"/>
      <c r="I296" s="22" t="n"/>
    </row>
    <row r="297">
      <c r="A297" s="26" t="n"/>
      <c r="B297" s="22" t="n"/>
      <c r="C297" s="22" t="n"/>
      <c r="D297" s="22" t="n"/>
      <c r="E297" s="22" t="n"/>
      <c r="F297" s="22" t="n"/>
      <c r="G297" s="22" t="n"/>
      <c r="H297" s="22" t="n"/>
      <c r="I297" s="22" t="n"/>
    </row>
    <row r="298">
      <c r="A298" s="26" t="n"/>
      <c r="B298" s="22" t="n"/>
      <c r="C298" s="22" t="n"/>
      <c r="D298" s="22" t="n"/>
      <c r="E298" s="22" t="n"/>
      <c r="F298" s="22" t="n"/>
      <c r="G298" s="22" t="n"/>
      <c r="H298" s="22" t="n"/>
      <c r="I298" s="22" t="n"/>
    </row>
    <row r="299">
      <c r="A299" s="26" t="n"/>
      <c r="B299" s="22" t="n"/>
      <c r="C299" s="22" t="n"/>
      <c r="D299" s="22" t="n"/>
      <c r="E299" s="22" t="n"/>
      <c r="F299" s="22" t="n"/>
      <c r="G299" s="22" t="n"/>
      <c r="H299" s="22" t="n"/>
      <c r="I299" s="22" t="n"/>
    </row>
    <row r="300">
      <c r="A300" s="26" t="n"/>
      <c r="B300" s="22" t="n"/>
      <c r="C300" s="22" t="n"/>
      <c r="D300" s="22" t="n"/>
      <c r="E300" s="22" t="n"/>
      <c r="F300" s="22" t="n"/>
      <c r="G300" s="22" t="n"/>
      <c r="H300" s="22" t="n"/>
      <c r="I300" s="22" t="n"/>
    </row>
    <row r="301">
      <c r="A301" s="26" t="n"/>
      <c r="B301" s="22" t="n"/>
      <c r="C301" s="22" t="n"/>
      <c r="D301" s="22" t="n"/>
      <c r="E301" s="22" t="n"/>
      <c r="F301" s="22" t="n"/>
      <c r="G301" s="22" t="n"/>
      <c r="H301" s="22" t="n"/>
      <c r="I301" s="22" t="n"/>
    </row>
    <row r="302">
      <c r="A302" s="26" t="n"/>
      <c r="B302" s="22" t="n"/>
      <c r="C302" s="22" t="n"/>
      <c r="D302" s="22" t="n"/>
      <c r="E302" s="22" t="n"/>
      <c r="F302" s="22" t="n"/>
      <c r="G302" s="22" t="n"/>
      <c r="H302" s="22" t="n"/>
      <c r="I302" s="22" t="n"/>
    </row>
    <row r="303">
      <c r="A303" s="26" t="n"/>
      <c r="B303" s="22" t="n"/>
      <c r="C303" s="22" t="n"/>
      <c r="D303" s="22" t="n"/>
      <c r="E303" s="22" t="n"/>
      <c r="F303" s="22" t="n"/>
      <c r="G303" s="22" t="n"/>
      <c r="H303" s="22" t="n"/>
      <c r="I303" s="22" t="n"/>
    </row>
    <row r="304">
      <c r="A304" s="26" t="n"/>
      <c r="B304" s="22" t="n"/>
      <c r="C304" s="22" t="n"/>
      <c r="D304" s="22" t="n"/>
      <c r="E304" s="22" t="n"/>
      <c r="F304" s="22" t="n"/>
      <c r="G304" s="22" t="n"/>
      <c r="H304" s="22" t="n"/>
      <c r="I304" s="22" t="n"/>
    </row>
    <row r="305">
      <c r="A305" s="26" t="n"/>
      <c r="B305" s="22" t="n"/>
      <c r="C305" s="22" t="n"/>
      <c r="D305" s="22" t="n"/>
      <c r="E305" s="22" t="n"/>
      <c r="F305" s="22" t="n"/>
      <c r="G305" s="22" t="n"/>
      <c r="H305" s="22" t="n"/>
      <c r="I305" s="22" t="n"/>
    </row>
    <row r="306">
      <c r="A306" s="26" t="n"/>
      <c r="B306" s="22" t="n"/>
      <c r="C306" s="22" t="n"/>
      <c r="D306" s="22" t="n"/>
      <c r="E306" s="22" t="n"/>
      <c r="F306" s="22" t="n"/>
      <c r="G306" s="22" t="n"/>
      <c r="H306" s="22" t="n"/>
      <c r="I306" s="22" t="n"/>
    </row>
    <row r="307">
      <c r="A307" s="26" t="n"/>
      <c r="B307" s="22" t="n"/>
      <c r="C307" s="22" t="n"/>
      <c r="D307" s="22" t="n"/>
      <c r="E307" s="22" t="n"/>
      <c r="F307" s="22" t="n"/>
      <c r="G307" s="22" t="n"/>
      <c r="H307" s="22" t="n"/>
      <c r="I307" s="22" t="n"/>
    </row>
    <row r="308">
      <c r="A308" s="26" t="n"/>
      <c r="B308" s="22" t="n"/>
      <c r="C308" s="22" t="n"/>
      <c r="D308" s="22" t="n"/>
      <c r="E308" s="22" t="n"/>
      <c r="F308" s="22" t="n"/>
      <c r="G308" s="22" t="n"/>
      <c r="H308" s="22" t="n"/>
      <c r="I308" s="22" t="n"/>
    </row>
    <row r="309">
      <c r="A309" s="26" t="n"/>
      <c r="B309" s="22" t="n"/>
      <c r="C309" s="22" t="n"/>
      <c r="D309" s="22" t="n"/>
      <c r="E309" s="22" t="n"/>
      <c r="F309" s="22" t="n"/>
      <c r="G309" s="22" t="n"/>
      <c r="H309" s="22" t="n"/>
      <c r="I309" s="22" t="n"/>
    </row>
    <row r="310">
      <c r="A310" s="26" t="n"/>
      <c r="B310" s="22" t="n"/>
      <c r="C310" s="22" t="n"/>
      <c r="D310" s="22" t="n"/>
      <c r="E310" s="22" t="n"/>
      <c r="F310" s="22" t="n"/>
      <c r="G310" s="22" t="n"/>
      <c r="H310" s="22" t="n"/>
      <c r="I310" s="22" t="n"/>
    </row>
    <row r="311">
      <c r="A311" s="26" t="n"/>
      <c r="B311" s="22" t="n"/>
      <c r="C311" s="22" t="n"/>
      <c r="D311" s="22" t="n"/>
      <c r="E311" s="22" t="n"/>
      <c r="F311" s="22" t="n"/>
      <c r="G311" s="22" t="n"/>
      <c r="H311" s="22" t="n"/>
      <c r="I311" s="22" t="n"/>
    </row>
    <row r="312">
      <c r="A312" s="26" t="n"/>
      <c r="B312" s="22" t="n"/>
      <c r="C312" s="22" t="n"/>
      <c r="D312" s="22" t="n"/>
      <c r="E312" s="22" t="n"/>
      <c r="F312" s="22" t="n"/>
      <c r="G312" s="22" t="n"/>
      <c r="H312" s="22" t="n"/>
      <c r="I312" s="22" t="n"/>
    </row>
    <row r="313">
      <c r="A313" s="26" t="n"/>
      <c r="B313" s="22" t="n"/>
      <c r="C313" s="22" t="n"/>
      <c r="D313" s="22" t="n"/>
      <c r="E313" s="22" t="n"/>
      <c r="F313" s="22" t="n"/>
      <c r="G313" s="22" t="n"/>
      <c r="H313" s="22" t="n"/>
      <c r="I313" s="22" t="n"/>
    </row>
    <row r="314">
      <c r="A314" s="26" t="n"/>
      <c r="B314" s="22" t="n"/>
      <c r="C314" s="22" t="n"/>
      <c r="D314" s="22" t="n"/>
      <c r="E314" s="22" t="n"/>
      <c r="F314" s="22" t="n"/>
      <c r="G314" s="22" t="n"/>
      <c r="H314" s="22" t="n"/>
      <c r="I314" s="22" t="n"/>
    </row>
    <row r="315">
      <c r="A315" s="26" t="n"/>
      <c r="B315" s="22" t="n"/>
      <c r="C315" s="22" t="n"/>
      <c r="D315" s="22" t="n"/>
      <c r="E315" s="22" t="n"/>
      <c r="F315" s="22" t="n"/>
      <c r="G315" s="22" t="n"/>
      <c r="H315" s="22" t="n"/>
      <c r="I315" s="22" t="n"/>
    </row>
    <row r="316">
      <c r="A316" s="26" t="n"/>
      <c r="B316" s="22" t="n"/>
      <c r="C316" s="22" t="n"/>
      <c r="D316" s="22" t="n"/>
      <c r="E316" s="22" t="n"/>
      <c r="F316" s="22" t="n"/>
      <c r="G316" s="22" t="n"/>
      <c r="H316" s="22" t="n"/>
      <c r="I316" s="22" t="n"/>
    </row>
    <row r="317">
      <c r="A317" s="26" t="n"/>
      <c r="B317" s="22" t="n"/>
      <c r="C317" s="22" t="n"/>
      <c r="D317" s="22" t="n"/>
      <c r="E317" s="22" t="n"/>
      <c r="F317" s="22" t="n"/>
      <c r="G317" s="22" t="n"/>
      <c r="H317" s="22" t="n"/>
      <c r="I317" s="22" t="n"/>
    </row>
    <row r="318">
      <c r="A318" s="26" t="n"/>
      <c r="B318" s="22" t="n"/>
      <c r="C318" s="22" t="n"/>
      <c r="D318" s="22" t="n"/>
      <c r="E318" s="22" t="n"/>
      <c r="F318" s="22" t="n"/>
      <c r="G318" s="22" t="n"/>
      <c r="H318" s="22" t="n"/>
      <c r="I318" s="22" t="n"/>
    </row>
    <row r="319">
      <c r="A319" s="26" t="n"/>
      <c r="B319" s="22" t="n"/>
      <c r="C319" s="22" t="n"/>
      <c r="D319" s="22" t="n"/>
      <c r="E319" s="22" t="n"/>
      <c r="F319" s="22" t="n"/>
      <c r="G319" s="22" t="n"/>
      <c r="H319" s="22" t="n"/>
      <c r="I319" s="22" t="n"/>
    </row>
    <row r="320">
      <c r="A320" s="26" t="n"/>
      <c r="B320" s="22" t="n"/>
      <c r="C320" s="22" t="n"/>
      <c r="D320" s="22" t="n"/>
      <c r="E320" s="22" t="n"/>
      <c r="F320" s="22" t="n"/>
      <c r="G320" s="22" t="n"/>
      <c r="H320" s="22" t="n"/>
      <c r="I320" s="22" t="n"/>
    </row>
    <row r="321">
      <c r="A321" s="26" t="n"/>
      <c r="B321" s="22" t="n"/>
      <c r="C321" s="22" t="n"/>
      <c r="D321" s="22" t="n"/>
      <c r="E321" s="22" t="n"/>
      <c r="F321" s="22" t="n"/>
      <c r="G321" s="22" t="n"/>
      <c r="H321" s="22" t="n"/>
      <c r="I321" s="22" t="n"/>
    </row>
    <row r="322">
      <c r="A322" s="26" t="n"/>
      <c r="B322" s="22" t="n"/>
      <c r="C322" s="22" t="n"/>
      <c r="D322" s="22" t="n"/>
      <c r="E322" s="22" t="n"/>
      <c r="F322" s="22" t="n"/>
      <c r="G322" s="22" t="n"/>
      <c r="H322" s="22" t="n"/>
      <c r="I322" s="22" t="n"/>
    </row>
    <row r="323">
      <c r="A323" s="26" t="n"/>
      <c r="B323" s="22" t="n"/>
      <c r="C323" s="22" t="n"/>
      <c r="D323" s="22" t="n"/>
      <c r="E323" s="22" t="n"/>
      <c r="F323" s="22" t="n"/>
      <c r="G323" s="22" t="n"/>
      <c r="H323" s="22" t="n"/>
      <c r="I323" s="22" t="n"/>
    </row>
    <row r="324">
      <c r="A324" s="26" t="n"/>
      <c r="B324" s="22" t="n"/>
      <c r="C324" s="22" t="n"/>
      <c r="D324" s="22" t="n"/>
      <c r="E324" s="22" t="n"/>
      <c r="F324" s="22" t="n"/>
      <c r="G324" s="22" t="n"/>
      <c r="H324" s="22" t="n"/>
      <c r="I324" s="22" t="n"/>
    </row>
    <row r="325">
      <c r="A325" s="26" t="n"/>
      <c r="B325" s="22" t="n"/>
      <c r="C325" s="22" t="n"/>
      <c r="D325" s="22" t="n"/>
      <c r="E325" s="22" t="n"/>
      <c r="F325" s="22" t="n"/>
      <c r="G325" s="22" t="n"/>
      <c r="H325" s="22" t="n"/>
      <c r="I325" s="22" t="n"/>
    </row>
    <row r="326">
      <c r="A326" s="26" t="n"/>
      <c r="B326" s="22" t="n"/>
      <c r="C326" s="22" t="n"/>
      <c r="D326" s="22" t="n"/>
      <c r="E326" s="22" t="n"/>
      <c r="F326" s="22" t="n"/>
      <c r="G326" s="22" t="n"/>
      <c r="H326" s="22" t="n"/>
      <c r="I326" s="22" t="n"/>
    </row>
    <row r="327">
      <c r="A327" s="26" t="n"/>
      <c r="B327" s="22" t="n"/>
      <c r="C327" s="22" t="n"/>
      <c r="D327" s="22" t="n"/>
      <c r="E327" s="22" t="n"/>
      <c r="F327" s="22" t="n"/>
      <c r="G327" s="22" t="n"/>
      <c r="H327" s="22" t="n"/>
      <c r="I327" s="22" t="n"/>
    </row>
    <row r="328">
      <c r="A328" s="26" t="n"/>
      <c r="B328" s="22" t="n"/>
      <c r="C328" s="22" t="n"/>
      <c r="D328" s="22" t="n"/>
      <c r="E328" s="22" t="n"/>
      <c r="F328" s="22" t="n"/>
      <c r="G328" s="22" t="n"/>
      <c r="H328" s="22" t="n"/>
      <c r="I328" s="22" t="n"/>
    </row>
    <row r="329">
      <c r="A329" s="26" t="n"/>
      <c r="B329" s="22" t="n"/>
      <c r="C329" s="22" t="n"/>
      <c r="D329" s="22" t="n"/>
      <c r="E329" s="22" t="n"/>
      <c r="F329" s="22" t="n"/>
      <c r="G329" s="22" t="n"/>
      <c r="H329" s="22" t="n"/>
      <c r="I329" s="22" t="n"/>
    </row>
    <row r="330">
      <c r="A330" s="26" t="n"/>
      <c r="B330" s="22" t="n"/>
      <c r="C330" s="22" t="n"/>
      <c r="D330" s="22" t="n"/>
      <c r="E330" s="22" t="n"/>
      <c r="F330" s="22" t="n"/>
      <c r="G330" s="22" t="n"/>
      <c r="H330" s="22" t="n"/>
      <c r="I330" s="22" t="n"/>
    </row>
    <row r="331">
      <c r="A331" s="26" t="n"/>
      <c r="B331" s="22" t="n"/>
      <c r="C331" s="22" t="n"/>
      <c r="D331" s="22" t="n"/>
      <c r="E331" s="22" t="n"/>
      <c r="F331" s="22" t="n"/>
      <c r="G331" s="22" t="n"/>
      <c r="H331" s="22" t="n"/>
      <c r="I331" s="22" t="n"/>
    </row>
    <row r="332">
      <c r="A332" s="26" t="n"/>
      <c r="B332" s="22" t="n"/>
      <c r="C332" s="22" t="n"/>
      <c r="D332" s="22" t="n"/>
      <c r="E332" s="22" t="n"/>
      <c r="F332" s="22" t="n"/>
      <c r="G332" s="22" t="n"/>
      <c r="H332" s="22" t="n"/>
      <c r="I332" s="22" t="n"/>
    </row>
    <row r="333">
      <c r="A333" s="26" t="n"/>
      <c r="B333" s="22" t="n"/>
      <c r="C333" s="22" t="n"/>
      <c r="D333" s="22" t="n"/>
      <c r="E333" s="22" t="n"/>
      <c r="F333" s="22" t="n"/>
      <c r="G333" s="22" t="n"/>
      <c r="H333" s="22" t="n"/>
      <c r="I333" s="22" t="n"/>
    </row>
    <row r="334">
      <c r="A334" s="26" t="n"/>
      <c r="B334" s="22" t="n"/>
      <c r="C334" s="22" t="n"/>
      <c r="D334" s="22" t="n"/>
      <c r="E334" s="22" t="n"/>
      <c r="F334" s="22" t="n"/>
      <c r="G334" s="22" t="n"/>
      <c r="H334" s="22" t="n"/>
      <c r="I334" s="22" t="n"/>
    </row>
    <row r="335">
      <c r="A335" s="26" t="n"/>
      <c r="B335" s="22" t="n"/>
      <c r="C335" s="22" t="n"/>
      <c r="D335" s="22" t="n"/>
      <c r="E335" s="22" t="n"/>
      <c r="F335" s="22" t="n"/>
      <c r="G335" s="22" t="n"/>
      <c r="H335" s="22" t="n"/>
      <c r="I335" s="22" t="n"/>
    </row>
    <row r="336">
      <c r="A336" s="26" t="n"/>
      <c r="B336" s="22" t="n"/>
      <c r="C336" s="22" t="n"/>
      <c r="D336" s="22" t="n"/>
      <c r="E336" s="22" t="n"/>
      <c r="F336" s="22" t="n"/>
      <c r="G336" s="22" t="n"/>
      <c r="H336" s="22" t="n"/>
      <c r="I336" s="22" t="n"/>
    </row>
    <row r="337">
      <c r="A337" s="26" t="n"/>
      <c r="B337" s="22" t="n"/>
      <c r="C337" s="22" t="n"/>
      <c r="D337" s="22" t="n"/>
      <c r="E337" s="22" t="n"/>
      <c r="F337" s="22" t="n"/>
      <c r="G337" s="22" t="n"/>
      <c r="H337" s="22" t="n"/>
      <c r="I337" s="22" t="n"/>
    </row>
    <row r="338">
      <c r="A338" s="26" t="n"/>
      <c r="B338" s="22" t="n"/>
      <c r="C338" s="22" t="n"/>
      <c r="D338" s="22" t="n"/>
      <c r="E338" s="22" t="n"/>
      <c r="F338" s="22" t="n"/>
      <c r="G338" s="22" t="n"/>
      <c r="H338" s="22" t="n"/>
      <c r="I338" s="22" t="n"/>
    </row>
    <row r="339">
      <c r="A339" s="26" t="n"/>
      <c r="B339" s="22" t="n"/>
      <c r="C339" s="22" t="n"/>
      <c r="D339" s="22" t="n"/>
      <c r="E339" s="22" t="n"/>
      <c r="F339" s="22" t="n"/>
      <c r="G339" s="22" t="n"/>
      <c r="H339" s="22" t="n"/>
      <c r="I339" s="22" t="n"/>
    </row>
    <row r="340">
      <c r="A340" s="26" t="n"/>
      <c r="B340" s="22" t="n"/>
      <c r="C340" s="22" t="n"/>
      <c r="D340" s="22" t="n"/>
      <c r="E340" s="22" t="n"/>
      <c r="F340" s="22" t="n"/>
      <c r="G340" s="22" t="n"/>
      <c r="H340" s="22" t="n"/>
      <c r="I340" s="22" t="n"/>
    </row>
    <row r="341">
      <c r="A341" s="26" t="n"/>
      <c r="B341" s="22" t="n"/>
      <c r="C341" s="22" t="n"/>
      <c r="D341" s="22" t="n"/>
      <c r="E341" s="22" t="n"/>
      <c r="F341" s="22" t="n"/>
      <c r="G341" s="22" t="n"/>
      <c r="H341" s="22" t="n"/>
      <c r="I341" s="22" t="n"/>
    </row>
    <row r="342">
      <c r="A342" s="26" t="n"/>
      <c r="B342" s="22" t="n"/>
      <c r="C342" s="22" t="n"/>
      <c r="D342" s="22" t="n"/>
      <c r="E342" s="22" t="n"/>
      <c r="F342" s="22" t="n"/>
      <c r="G342" s="22" t="n"/>
      <c r="H342" s="22" t="n"/>
      <c r="I342" s="22" t="n"/>
    </row>
    <row r="343">
      <c r="A343" s="26" t="n"/>
      <c r="B343" s="22" t="n"/>
      <c r="C343" s="22" t="n"/>
      <c r="D343" s="22" t="n"/>
      <c r="E343" s="22" t="n"/>
      <c r="F343" s="22" t="n"/>
      <c r="G343" s="22" t="n"/>
      <c r="H343" s="22" t="n"/>
      <c r="I343" s="22" t="n"/>
    </row>
    <row r="344">
      <c r="A344" s="26" t="n"/>
      <c r="B344" s="22" t="n"/>
      <c r="C344" s="22" t="n"/>
      <c r="D344" s="22" t="n"/>
      <c r="E344" s="22" t="n"/>
      <c r="F344" s="22" t="n"/>
      <c r="G344" s="22" t="n"/>
      <c r="H344" s="22" t="n"/>
      <c r="I344" s="22" t="n"/>
    </row>
    <row r="345">
      <c r="A345" s="26" t="n"/>
      <c r="B345" s="22" t="n"/>
      <c r="C345" s="22" t="n"/>
      <c r="D345" s="22" t="n"/>
      <c r="E345" s="22" t="n"/>
      <c r="F345" s="22" t="n"/>
      <c r="G345" s="22" t="n"/>
      <c r="H345" s="22" t="n"/>
      <c r="I345" s="22" t="n"/>
    </row>
    <row r="346">
      <c r="A346" s="26" t="n"/>
      <c r="B346" s="22" t="n"/>
      <c r="C346" s="22" t="n"/>
      <c r="D346" s="22" t="n"/>
      <c r="E346" s="22" t="n"/>
      <c r="F346" s="22" t="n"/>
      <c r="G346" s="22" t="n"/>
      <c r="H346" s="22" t="n"/>
      <c r="I346" s="22" t="n"/>
    </row>
    <row r="347">
      <c r="A347" s="26" t="n"/>
      <c r="B347" s="22" t="n"/>
      <c r="C347" s="22" t="n"/>
      <c r="D347" s="22" t="n"/>
      <c r="E347" s="22" t="n"/>
      <c r="F347" s="22" t="n"/>
      <c r="G347" s="22" t="n"/>
      <c r="H347" s="22" t="n"/>
      <c r="I347" s="22" t="n"/>
    </row>
    <row r="348">
      <c r="A348" s="26" t="n"/>
      <c r="B348" s="22" t="n"/>
      <c r="C348" s="22" t="n"/>
      <c r="D348" s="22" t="n"/>
      <c r="E348" s="22" t="n"/>
      <c r="F348" s="22" t="n"/>
      <c r="G348" s="22" t="n"/>
      <c r="H348" s="22" t="n"/>
      <c r="I348" s="22" t="n"/>
    </row>
    <row r="349">
      <c r="A349" s="26" t="n"/>
      <c r="B349" s="22" t="n"/>
      <c r="C349" s="22" t="n"/>
      <c r="D349" s="22" t="n"/>
      <c r="E349" s="22" t="n"/>
      <c r="F349" s="22" t="n"/>
      <c r="G349" s="22" t="n"/>
      <c r="H349" s="22" t="n"/>
      <c r="I349" s="22" t="n"/>
    </row>
    <row r="350">
      <c r="A350" s="26" t="n"/>
      <c r="B350" s="22" t="n"/>
      <c r="C350" s="22" t="n"/>
      <c r="D350" s="22" t="n"/>
      <c r="E350" s="22" t="n"/>
      <c r="F350" s="22" t="n"/>
      <c r="G350" s="22" t="n"/>
      <c r="H350" s="22" t="n"/>
      <c r="I350" s="22" t="n"/>
    </row>
    <row r="351">
      <c r="A351" s="26" t="n"/>
      <c r="B351" s="22" t="n"/>
      <c r="C351" s="22" t="n"/>
      <c r="D351" s="22" t="n"/>
      <c r="E351" s="22" t="n"/>
      <c r="F351" s="22" t="n"/>
      <c r="G351" s="22" t="n"/>
      <c r="H351" s="22" t="n"/>
      <c r="I351" s="22" t="n"/>
    </row>
    <row r="352">
      <c r="A352" s="26" t="n"/>
      <c r="B352" s="22" t="n"/>
      <c r="C352" s="22" t="n"/>
      <c r="D352" s="22" t="n"/>
      <c r="E352" s="22" t="n"/>
      <c r="F352" s="22" t="n"/>
      <c r="G352" s="22" t="n"/>
      <c r="H352" s="22" t="n"/>
      <c r="I352" s="22" t="n"/>
    </row>
    <row r="353">
      <c r="A353" s="26" t="n"/>
      <c r="B353" s="22" t="n"/>
      <c r="C353" s="22" t="n"/>
      <c r="D353" s="22" t="n"/>
      <c r="E353" s="22" t="n"/>
      <c r="F353" s="22" t="n"/>
      <c r="G353" s="22" t="n"/>
      <c r="H353" s="22" t="n"/>
      <c r="I353" s="22" t="n"/>
    </row>
    <row r="354">
      <c r="A354" s="26" t="n"/>
      <c r="B354" s="22" t="n"/>
      <c r="C354" s="22" t="n"/>
      <c r="D354" s="22" t="n"/>
      <c r="E354" s="22" t="n"/>
      <c r="F354" s="22" t="n"/>
      <c r="G354" s="22" t="n"/>
      <c r="H354" s="22" t="n"/>
      <c r="I354" s="22" t="n"/>
    </row>
    <row r="355">
      <c r="A355" s="26" t="n"/>
      <c r="B355" s="22" t="n"/>
      <c r="C355" s="22" t="n"/>
      <c r="D355" s="22" t="n"/>
      <c r="E355" s="22" t="n"/>
      <c r="F355" s="22" t="n"/>
      <c r="G355" s="22" t="n"/>
      <c r="H355" s="22" t="n"/>
      <c r="I355" s="22" t="n"/>
    </row>
    <row r="356">
      <c r="A356" s="26" t="n"/>
      <c r="B356" s="22" t="n"/>
      <c r="C356" s="22" t="n"/>
      <c r="D356" s="22" t="n"/>
      <c r="E356" s="22" t="n"/>
      <c r="F356" s="22" t="n"/>
      <c r="G356" s="22" t="n"/>
      <c r="H356" s="22" t="n"/>
      <c r="I356" s="22" t="n"/>
    </row>
    <row r="357">
      <c r="A357" s="26" t="n"/>
      <c r="B357" s="22" t="n"/>
      <c r="C357" s="22" t="n"/>
      <c r="D357" s="22" t="n"/>
      <c r="E357" s="22" t="n"/>
      <c r="F357" s="22" t="n"/>
      <c r="G357" s="22" t="n"/>
      <c r="H357" s="22" t="n"/>
      <c r="I357" s="22" t="n"/>
    </row>
    <row r="358">
      <c r="A358" s="26" t="n"/>
      <c r="B358" s="22" t="n"/>
      <c r="C358" s="22" t="n"/>
      <c r="D358" s="22" t="n"/>
      <c r="E358" s="22" t="n"/>
      <c r="F358" s="22" t="n"/>
      <c r="G358" s="22" t="n"/>
      <c r="H358" s="22" t="n"/>
      <c r="I358" s="22" t="n"/>
    </row>
    <row r="359">
      <c r="A359" s="26" t="n"/>
      <c r="B359" s="22" t="n"/>
      <c r="C359" s="22" t="n"/>
      <c r="D359" s="22" t="n"/>
      <c r="E359" s="22" t="n"/>
      <c r="F359" s="22" t="n"/>
      <c r="G359" s="22" t="n"/>
      <c r="H359" s="22" t="n"/>
      <c r="I359" s="22" t="n"/>
    </row>
    <row r="360">
      <c r="A360" s="26" t="n"/>
      <c r="B360" s="22" t="n"/>
      <c r="C360" s="22" t="n"/>
      <c r="D360" s="22" t="n"/>
      <c r="E360" s="22" t="n"/>
      <c r="F360" s="22" t="n"/>
      <c r="G360" s="22" t="n"/>
      <c r="H360" s="22" t="n"/>
      <c r="I360" s="22" t="n"/>
    </row>
    <row r="361">
      <c r="A361" s="26" t="n"/>
      <c r="B361" s="22" t="n"/>
      <c r="C361" s="22" t="n"/>
      <c r="D361" s="22" t="n"/>
      <c r="E361" s="22" t="n"/>
      <c r="F361" s="22" t="n"/>
      <c r="G361" s="22" t="n"/>
      <c r="H361" s="22" t="n"/>
      <c r="I361" s="22" t="n"/>
    </row>
    <row r="362">
      <c r="A362" s="26" t="n"/>
      <c r="B362" s="22" t="n"/>
      <c r="C362" s="22" t="n"/>
      <c r="D362" s="22" t="n"/>
      <c r="E362" s="22" t="n"/>
      <c r="F362" s="22" t="n"/>
      <c r="G362" s="22" t="n"/>
      <c r="H362" s="22" t="n"/>
      <c r="I362" s="22" t="n"/>
    </row>
    <row r="363">
      <c r="A363" s="26" t="n"/>
      <c r="B363" s="22" t="n"/>
      <c r="C363" s="22" t="n"/>
      <c r="D363" s="22" t="n"/>
      <c r="E363" s="22" t="n"/>
      <c r="F363" s="22" t="n"/>
      <c r="G363" s="22" t="n"/>
      <c r="H363" s="22" t="n"/>
      <c r="I363" s="22" t="n"/>
    </row>
    <row r="364">
      <c r="A364" s="26" t="n"/>
      <c r="B364" s="22" t="n"/>
      <c r="C364" s="22" t="n"/>
      <c r="D364" s="22" t="n"/>
      <c r="E364" s="22" t="n"/>
      <c r="F364" s="22" t="n"/>
      <c r="G364" s="22" t="n"/>
      <c r="H364" s="22" t="n"/>
      <c r="I364" s="22" t="n"/>
    </row>
    <row r="365">
      <c r="A365" s="26" t="n"/>
      <c r="B365" s="22" t="n"/>
      <c r="C365" s="22" t="n"/>
      <c r="D365" s="22" t="n"/>
      <c r="E365" s="22" t="n"/>
      <c r="F365" s="22" t="n"/>
      <c r="G365" s="22" t="n"/>
      <c r="H365" s="22" t="n"/>
      <c r="I365" s="22" t="n"/>
    </row>
    <row r="366">
      <c r="A366" s="26" t="n"/>
      <c r="B366" s="22" t="n"/>
      <c r="C366" s="22" t="n"/>
      <c r="D366" s="22" t="n"/>
      <c r="E366" s="22" t="n"/>
      <c r="F366" s="22" t="n"/>
      <c r="G366" s="22" t="n"/>
      <c r="H366" s="22" t="n"/>
      <c r="I366" s="22" t="n"/>
    </row>
    <row r="367">
      <c r="A367" s="26" t="n"/>
      <c r="B367" s="22" t="n"/>
      <c r="C367" s="22" t="n"/>
      <c r="D367" s="22" t="n"/>
      <c r="E367" s="22" t="n"/>
      <c r="F367" s="22" t="n"/>
      <c r="G367" s="22" t="n"/>
      <c r="H367" s="22" t="n"/>
      <c r="I367" s="22" t="n"/>
    </row>
    <row r="368">
      <c r="A368" s="26" t="n"/>
      <c r="B368" s="22" t="n"/>
      <c r="C368" s="22" t="n"/>
      <c r="D368" s="22" t="n"/>
      <c r="E368" s="22" t="n"/>
      <c r="F368" s="22" t="n"/>
      <c r="G368" s="22" t="n"/>
      <c r="H368" s="22" t="n"/>
      <c r="I368" s="22" t="n"/>
    </row>
    <row r="369">
      <c r="A369" s="26" t="n"/>
      <c r="B369" s="22" t="n"/>
      <c r="C369" s="22" t="n"/>
      <c r="D369" s="22" t="n"/>
      <c r="E369" s="22" t="n"/>
      <c r="F369" s="22" t="n"/>
      <c r="G369" s="22" t="n"/>
      <c r="H369" s="22" t="n"/>
      <c r="I369" s="22" t="n"/>
    </row>
    <row r="370">
      <c r="A370" s="26" t="n"/>
      <c r="B370" s="22" t="n"/>
      <c r="C370" s="22" t="n"/>
      <c r="D370" s="22" t="n"/>
      <c r="E370" s="22" t="n"/>
      <c r="F370" s="22" t="n"/>
      <c r="G370" s="22" t="n"/>
      <c r="H370" s="22" t="n"/>
      <c r="I370" s="22" t="n"/>
    </row>
    <row r="371">
      <c r="A371" s="26" t="n"/>
      <c r="B371" s="22" t="n"/>
      <c r="C371" s="22" t="n"/>
      <c r="D371" s="22" t="n"/>
      <c r="E371" s="22" t="n"/>
      <c r="F371" s="22" t="n"/>
      <c r="G371" s="22" t="n"/>
      <c r="H371" s="22" t="n"/>
      <c r="I371" s="22" t="n"/>
    </row>
    <row r="372">
      <c r="A372" s="26" t="n"/>
      <c r="B372" s="22" t="n"/>
      <c r="C372" s="22" t="n"/>
      <c r="D372" s="22" t="n"/>
      <c r="E372" s="22" t="n"/>
      <c r="F372" s="22" t="n"/>
      <c r="G372" s="22" t="n"/>
      <c r="H372" s="22" t="n"/>
      <c r="I372" s="22" t="n"/>
    </row>
    <row r="373">
      <c r="A373" s="26" t="n"/>
      <c r="B373" s="22" t="n"/>
      <c r="C373" s="22" t="n"/>
      <c r="D373" s="22" t="n"/>
      <c r="E373" s="22" t="n"/>
      <c r="F373" s="22" t="n"/>
      <c r="G373" s="22" t="n"/>
      <c r="H373" s="22" t="n"/>
      <c r="I373" s="22" t="n"/>
    </row>
    <row r="374">
      <c r="A374" s="26" t="n"/>
      <c r="B374" s="22" t="n"/>
      <c r="C374" s="22" t="n"/>
      <c r="D374" s="22" t="n"/>
      <c r="E374" s="22" t="n"/>
      <c r="F374" s="22" t="n"/>
      <c r="G374" s="22" t="n"/>
      <c r="H374" s="22" t="n"/>
      <c r="I374" s="22" t="n"/>
    </row>
    <row r="375">
      <c r="A375" s="26" t="n"/>
      <c r="B375" s="22" t="n"/>
      <c r="C375" s="22" t="n"/>
      <c r="D375" s="22" t="n"/>
      <c r="E375" s="22" t="n"/>
      <c r="F375" s="22" t="n"/>
      <c r="G375" s="22" t="n"/>
      <c r="H375" s="22" t="n"/>
      <c r="I375" s="22" t="n"/>
    </row>
    <row r="376">
      <c r="A376" s="26" t="n"/>
      <c r="B376" s="22" t="n"/>
      <c r="C376" s="22" t="n"/>
      <c r="D376" s="22" t="n"/>
      <c r="E376" s="22" t="n"/>
      <c r="F376" s="22" t="n"/>
      <c r="G376" s="22" t="n"/>
      <c r="H376" s="22" t="n"/>
      <c r="I376" s="22" t="n"/>
    </row>
    <row r="377">
      <c r="A377" s="26" t="n"/>
      <c r="B377" s="22" t="n"/>
      <c r="C377" s="22" t="n"/>
      <c r="D377" s="22" t="n"/>
      <c r="E377" s="22" t="n"/>
      <c r="F377" s="22" t="n"/>
      <c r="G377" s="22" t="n"/>
      <c r="H377" s="22" t="n"/>
      <c r="I377" s="22" t="n"/>
    </row>
    <row r="378">
      <c r="A378" s="26" t="n"/>
      <c r="B378" s="22" t="n"/>
      <c r="C378" s="22" t="n"/>
      <c r="D378" s="22" t="n"/>
      <c r="E378" s="22" t="n"/>
      <c r="F378" s="22" t="n"/>
      <c r="G378" s="22" t="n"/>
      <c r="H378" s="22" t="n"/>
      <c r="I378" s="22" t="n"/>
    </row>
    <row r="379">
      <c r="A379" s="26" t="n"/>
      <c r="B379" s="22" t="n"/>
      <c r="C379" s="22" t="n"/>
      <c r="D379" s="22" t="n"/>
      <c r="E379" s="22" t="n"/>
      <c r="F379" s="22" t="n"/>
      <c r="G379" s="22" t="n"/>
      <c r="H379" s="22" t="n"/>
      <c r="I379" s="22" t="n"/>
    </row>
    <row r="380">
      <c r="A380" s="26" t="n"/>
      <c r="B380" s="22" t="n"/>
      <c r="C380" s="22" t="n"/>
      <c r="D380" s="22" t="n"/>
      <c r="E380" s="22" t="n"/>
      <c r="F380" s="22" t="n"/>
      <c r="G380" s="22" t="n"/>
      <c r="H380" s="22" t="n"/>
      <c r="I380" s="22" t="n"/>
    </row>
    <row r="381">
      <c r="A381" s="26" t="n"/>
      <c r="B381" s="22" t="n"/>
      <c r="C381" s="22" t="n"/>
      <c r="D381" s="22" t="n"/>
      <c r="E381" s="22" t="n"/>
      <c r="F381" s="22" t="n"/>
      <c r="G381" s="22" t="n"/>
      <c r="H381" s="22" t="n"/>
      <c r="I381" s="22" t="n"/>
    </row>
    <row r="382">
      <c r="A382" s="26" t="n"/>
      <c r="B382" s="22" t="n"/>
      <c r="C382" s="22" t="n"/>
      <c r="D382" s="22" t="n"/>
      <c r="E382" s="22" t="n"/>
      <c r="F382" s="22" t="n"/>
      <c r="G382" s="22" t="n"/>
      <c r="H382" s="22" t="n"/>
      <c r="I382" s="22" t="n"/>
    </row>
    <row r="383">
      <c r="A383" s="26" t="n"/>
      <c r="B383" s="22" t="n"/>
      <c r="C383" s="22" t="n"/>
      <c r="D383" s="22" t="n"/>
      <c r="E383" s="22" t="n"/>
      <c r="F383" s="22" t="n"/>
      <c r="G383" s="22" t="n"/>
      <c r="H383" s="22" t="n"/>
      <c r="I383" s="22" t="n"/>
    </row>
    <row r="384">
      <c r="A384" s="26" t="n"/>
      <c r="B384" s="22" t="n"/>
      <c r="C384" s="22" t="n"/>
      <c r="D384" s="22" t="n"/>
      <c r="E384" s="22" t="n"/>
      <c r="F384" s="22" t="n"/>
      <c r="G384" s="22" t="n"/>
      <c r="H384" s="22" t="n"/>
      <c r="I384" s="22" t="n"/>
    </row>
    <row r="385">
      <c r="A385" s="26" t="n"/>
      <c r="B385" s="22" t="n"/>
      <c r="C385" s="22" t="n"/>
      <c r="D385" s="22" t="n"/>
      <c r="E385" s="22" t="n"/>
      <c r="F385" s="22" t="n"/>
      <c r="G385" s="22" t="n"/>
      <c r="H385" s="22" t="n"/>
      <c r="I385" s="22" t="n"/>
    </row>
    <row r="386">
      <c r="A386" s="26" t="n"/>
      <c r="B386" s="22" t="n"/>
      <c r="C386" s="22" t="n"/>
      <c r="D386" s="22" t="n"/>
      <c r="E386" s="22" t="n"/>
      <c r="F386" s="22" t="n"/>
      <c r="G386" s="22" t="n"/>
      <c r="H386" s="22" t="n"/>
      <c r="I386" s="22" t="n"/>
    </row>
    <row r="387">
      <c r="A387" s="26" t="n"/>
      <c r="B387" s="22" t="n"/>
      <c r="C387" s="22" t="n"/>
      <c r="D387" s="22" t="n"/>
      <c r="E387" s="22" t="n"/>
      <c r="F387" s="22" t="n"/>
      <c r="G387" s="22" t="n"/>
      <c r="H387" s="22" t="n"/>
      <c r="I387" s="22" t="n"/>
    </row>
    <row r="388">
      <c r="A388" s="26" t="n"/>
      <c r="B388" s="22" t="n"/>
      <c r="C388" s="22" t="n"/>
      <c r="D388" s="22" t="n"/>
      <c r="E388" s="22" t="n"/>
      <c r="F388" s="22" t="n"/>
      <c r="G388" s="22" t="n"/>
      <c r="H388" s="22" t="n"/>
      <c r="I388" s="22" t="n"/>
    </row>
    <row r="389">
      <c r="A389" s="26" t="n"/>
      <c r="B389" s="22" t="n"/>
      <c r="C389" s="22" t="n"/>
      <c r="D389" s="22" t="n"/>
      <c r="E389" s="22" t="n"/>
      <c r="F389" s="22" t="n"/>
      <c r="G389" s="22" t="n"/>
      <c r="H389" s="22" t="n"/>
      <c r="I389" s="22" t="n"/>
    </row>
    <row r="390">
      <c r="A390" s="26" t="n"/>
      <c r="B390" s="22" t="n"/>
      <c r="C390" s="22" t="n"/>
      <c r="D390" s="22" t="n"/>
      <c r="E390" s="22" t="n"/>
      <c r="F390" s="22" t="n"/>
      <c r="G390" s="22" t="n"/>
      <c r="H390" s="22" t="n"/>
      <c r="I390" s="22" t="n"/>
    </row>
    <row r="391">
      <c r="A391" s="26" t="n"/>
      <c r="B391" s="22" t="n"/>
      <c r="C391" s="22" t="n"/>
      <c r="D391" s="22" t="n"/>
      <c r="E391" s="22" t="n"/>
      <c r="F391" s="22" t="n"/>
      <c r="G391" s="22" t="n"/>
      <c r="H391" s="22" t="n"/>
      <c r="I391" s="22" t="n"/>
    </row>
    <row r="392">
      <c r="A392" s="26" t="n"/>
      <c r="B392" s="22" t="n"/>
      <c r="C392" s="22" t="n"/>
      <c r="D392" s="22" t="n"/>
      <c r="E392" s="22" t="n"/>
      <c r="F392" s="22" t="n"/>
      <c r="G392" s="22" t="n"/>
      <c r="H392" s="22" t="n"/>
      <c r="I392" s="22" t="n"/>
    </row>
    <row r="393">
      <c r="A393" s="26" t="n"/>
      <c r="B393" s="22" t="n"/>
      <c r="C393" s="22" t="n"/>
      <c r="D393" s="22" t="n"/>
      <c r="E393" s="22" t="n"/>
      <c r="F393" s="22" t="n"/>
      <c r="G393" s="22" t="n"/>
      <c r="H393" s="22" t="n"/>
      <c r="I393" s="22" t="n"/>
    </row>
    <row r="394">
      <c r="A394" s="26" t="n"/>
      <c r="B394" s="22" t="n"/>
      <c r="C394" s="22" t="n"/>
      <c r="D394" s="22" t="n"/>
      <c r="E394" s="22" t="n"/>
      <c r="F394" s="22" t="n"/>
      <c r="G394" s="22" t="n"/>
      <c r="H394" s="22" t="n"/>
      <c r="I394" s="22" t="n"/>
    </row>
    <row r="395">
      <c r="A395" s="26" t="n"/>
      <c r="B395" s="22" t="n"/>
      <c r="C395" s="22" t="n"/>
      <c r="D395" s="22" t="n"/>
      <c r="E395" s="22" t="n"/>
      <c r="F395" s="22" t="n"/>
      <c r="G395" s="22" t="n"/>
      <c r="H395" s="22" t="n"/>
      <c r="I395" s="22" t="n"/>
    </row>
    <row r="396">
      <c r="A396" s="26" t="n"/>
      <c r="B396" s="22" t="n"/>
      <c r="C396" s="22" t="n"/>
      <c r="D396" s="22" t="n"/>
      <c r="E396" s="22" t="n"/>
      <c r="F396" s="22" t="n"/>
      <c r="G396" s="22" t="n"/>
      <c r="H396" s="22" t="n"/>
      <c r="I396" s="22" t="n"/>
    </row>
    <row r="397">
      <c r="A397" s="26" t="n"/>
      <c r="B397" s="22" t="n"/>
      <c r="C397" s="22" t="n"/>
      <c r="D397" s="22" t="n"/>
      <c r="E397" s="22" t="n"/>
      <c r="F397" s="22" t="n"/>
      <c r="G397" s="22" t="n"/>
      <c r="H397" s="22" t="n"/>
      <c r="I397" s="22" t="n"/>
    </row>
    <row r="398">
      <c r="A398" s="26" t="n"/>
      <c r="B398" s="22" t="n"/>
      <c r="C398" s="22" t="n"/>
      <c r="D398" s="22" t="n"/>
      <c r="E398" s="22" t="n"/>
      <c r="F398" s="22" t="n"/>
      <c r="G398" s="22" t="n"/>
      <c r="H398" s="22" t="n"/>
      <c r="I398" s="22" t="n"/>
    </row>
    <row r="399">
      <c r="A399" s="26" t="n"/>
      <c r="B399" s="22" t="n"/>
      <c r="C399" s="22" t="n"/>
      <c r="D399" s="22" t="n"/>
      <c r="E399" s="22" t="n"/>
      <c r="F399" s="22" t="n"/>
      <c r="G399" s="22" t="n"/>
      <c r="H399" s="22" t="n"/>
      <c r="I399" s="22" t="n"/>
    </row>
    <row r="400">
      <c r="A400" s="26" t="n"/>
      <c r="B400" s="22" t="n"/>
      <c r="C400" s="22" t="n"/>
      <c r="D400" s="22" t="n"/>
      <c r="E400" s="22" t="n"/>
      <c r="F400" s="22" t="n"/>
      <c r="G400" s="22" t="n"/>
      <c r="H400" s="22" t="n"/>
      <c r="I400" s="22" t="n"/>
    </row>
    <row r="401">
      <c r="A401" s="26" t="n"/>
      <c r="B401" s="22" t="n"/>
      <c r="C401" s="22" t="n"/>
      <c r="D401" s="22" t="n"/>
      <c r="E401" s="22" t="n"/>
      <c r="F401" s="22" t="n"/>
      <c r="G401" s="22" t="n"/>
      <c r="H401" s="22" t="n"/>
      <c r="I401" s="22" t="n"/>
    </row>
    <row r="402">
      <c r="A402" s="26" t="n"/>
      <c r="B402" s="22" t="n"/>
      <c r="C402" s="22" t="n"/>
      <c r="D402" s="22" t="n"/>
      <c r="E402" s="22" t="n"/>
      <c r="F402" s="22" t="n"/>
      <c r="G402" s="22" t="n"/>
      <c r="H402" s="22" t="n"/>
      <c r="I402" s="22" t="n"/>
    </row>
    <row r="403">
      <c r="A403" s="26" t="n"/>
      <c r="B403" s="22" t="n"/>
      <c r="C403" s="22" t="n"/>
      <c r="D403" s="22" t="n"/>
      <c r="E403" s="22" t="n"/>
      <c r="F403" s="22" t="n"/>
      <c r="G403" s="22" t="n"/>
      <c r="H403" s="22" t="n"/>
      <c r="I403" s="22" t="n"/>
    </row>
    <row r="404">
      <c r="A404" s="26" t="n"/>
      <c r="B404" s="22" t="n"/>
      <c r="C404" s="22" t="n"/>
      <c r="D404" s="22" t="n"/>
      <c r="E404" s="22" t="n"/>
      <c r="F404" s="22" t="n"/>
      <c r="G404" s="22" t="n"/>
      <c r="H404" s="22" t="n"/>
      <c r="I404" s="22" t="n"/>
    </row>
    <row r="405">
      <c r="A405" s="26" t="n"/>
      <c r="B405" s="22" t="n"/>
      <c r="C405" s="22" t="n"/>
      <c r="D405" s="22" t="n"/>
      <c r="E405" s="22" t="n"/>
      <c r="F405" s="22" t="n"/>
      <c r="G405" s="22" t="n"/>
      <c r="H405" s="22" t="n"/>
      <c r="I405" s="22" t="n"/>
    </row>
  </sheetData>
  <dataValidations count="7">
    <dataValidation sqref="B6:B405" showDropDown="0" showInputMessage="0" showErrorMessage="0" allowBlank="1" errorTitle="Salón" error="Escribe el salón tal como está en la hoja Perfil." type="list">
      <formula1>Perfil!$A$6:$A$17</formula1>
    </dataValidation>
    <dataValidation sqref="C6:C405" showDropDown="0" showInputMessage="0" showErrorMessage="0" allowBlank="1" errorTitle="Elige de la lista" error="Usa una de las opciones de la lista." type="list">
      <formula1>"WhatsApp,Instagram,Messenger,En el salón"</formula1>
    </dataValidation>
    <dataValidation sqref="E6:E405" showDropDown="0" showInputMessage="0" showErrorMessage="0" allowBlank="1" errorTitle="Elige de la lista" error="Usa una de las opciones de la lista." type="list">
      <formula1>"Sí,A medias,No"</formula1>
    </dataValidation>
    <dataValidation sqref="F6:F405" showDropDown="0" showInputMessage="0" showErrorMessage="0" allowBlank="1" errorTitle="Elige de la lista" error="Usa una de las opciones de la lista." type="list">
      <formula1>"Sí,No,No sé"</formula1>
    </dataValidation>
    <dataValidation sqref="H6:H405" showDropDown="0" showInputMessage="0" showErrorMessage="0" allowBlank="1" errorTitle="Elige de la lista" error="Usa una de las opciones de la lista." type="list">
      <formula1>"Sí,No"</formula1>
    </dataValidation>
    <dataValidation sqref="D6:D405" showDropDown="0" showInputMessage="0" showErrorMessage="0" allowBlank="1" errorTitle="Puntaje" error="Pon un número entero del 1 al 5." type="whole" operator="between">
      <formula1>1</formula1>
      <formula2>5</formula2>
    </dataValidation>
    <dataValidation sqref="G6:G405" showDropDown="0" showInputMessage="0" showErrorMessage="0" allowBlank="1" errorTitle="Puntaje" error="Pon un número entero del 1 al 5.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2" customWidth="1" min="4" max="4"/>
    <col width="12" customWidth="1" min="5" max="5"/>
    <col width="14" customWidth="1" min="6" max="6"/>
    <col width="18" customWidth="1" min="7" max="7"/>
    <col width="36" customWidth="1" min="8" max="8"/>
    <col width="40" customWidth="1" min="9" max="9"/>
  </cols>
  <sheetData>
    <row r="1" ht="30" customHeight="1">
      <c r="A1" s="1" t="inlineStr">
        <is>
          <t>Encuesta al equipo del salón</t>
        </is>
      </c>
    </row>
    <row r="2">
      <c r="A2" s="2" t="inlineStr">
        <is>
          <t>Dueña, administración, recepción y especialistas. Una fila por persona y por vez que la contesta.</t>
        </is>
      </c>
    </row>
    <row r="4" ht="48" customHeight="1">
      <c r="A4" s="18" t="inlineStr">
        <is>
          <t>Fecha</t>
        </is>
      </c>
      <c r="B4" s="18" t="inlineStr">
        <is>
          <t>Salón</t>
        </is>
      </c>
      <c r="C4" s="18" t="inlineStr">
        <is>
          <t>Rol</t>
        </is>
      </c>
      <c r="D4" s="18" t="inlineStr">
        <is>
          <t>Facilidad de uso (1-5)</t>
        </is>
      </c>
      <c r="E4" s="18" t="inlineStr">
        <is>
          <t>Tiempo que le ahorra (1-5)</t>
        </is>
      </c>
      <c r="F4" s="18" t="inlineStr">
        <is>
          <t>Confianza en lo que responde Lalan (1-5)</t>
        </is>
      </c>
      <c r="G4" s="18" t="inlineStr">
        <is>
          <t>Lo que más usa</t>
        </is>
      </c>
      <c r="H4" s="18" t="inlineStr">
        <is>
          <t>Lo que menos entiende</t>
        </is>
      </c>
      <c r="I4" s="18" t="inlineStr">
        <is>
          <t>Qué cambiaría</t>
        </is>
      </c>
    </row>
    <row r="5">
      <c r="A5" s="25" t="n">
        <v>46310</v>
      </c>
      <c r="B5" s="20" t="inlineStr">
        <is>
          <t>Salón Ejemplo</t>
        </is>
      </c>
      <c r="C5" s="20" t="inlineStr">
        <is>
          <t>Recepción</t>
        </is>
      </c>
      <c r="D5" s="20" t="n">
        <v>4</v>
      </c>
      <c r="E5" s="20" t="n">
        <v>4</v>
      </c>
      <c r="F5" s="20" t="n">
        <v>3</v>
      </c>
      <c r="G5" s="20" t="inlineStr">
        <is>
          <t>Chats</t>
        </is>
      </c>
      <c r="H5" s="20" t="inlineStr">
        <is>
          <t>Cómo pasar un chat a Lalan otra vez</t>
        </is>
      </c>
      <c r="I5" s="20" t="inlineStr">
        <is>
          <t>Ver las citas del día en grande</t>
        </is>
      </c>
    </row>
    <row r="6">
      <c r="A6" s="26" t="n"/>
      <c r="B6" s="22" t="n"/>
      <c r="C6" s="22" t="n"/>
      <c r="D6" s="22" t="n"/>
      <c r="E6" s="22" t="n"/>
      <c r="F6" s="22" t="n"/>
      <c r="G6" s="22" t="n"/>
      <c r="H6" s="22" t="n"/>
      <c r="I6" s="22" t="n"/>
    </row>
    <row r="7">
      <c r="A7" s="26" t="n"/>
      <c r="B7" s="22" t="n"/>
      <c r="C7" s="22" t="n"/>
      <c r="D7" s="22" t="n"/>
      <c r="E7" s="22" t="n"/>
      <c r="F7" s="22" t="n"/>
      <c r="G7" s="22" t="n"/>
      <c r="H7" s="22" t="n"/>
      <c r="I7" s="22" t="n"/>
    </row>
    <row r="8">
      <c r="A8" s="26" t="n"/>
      <c r="B8" s="22" t="n"/>
      <c r="C8" s="22" t="n"/>
      <c r="D8" s="22" t="n"/>
      <c r="E8" s="22" t="n"/>
      <c r="F8" s="22" t="n"/>
      <c r="G8" s="22" t="n"/>
      <c r="H8" s="22" t="n"/>
      <c r="I8" s="22" t="n"/>
    </row>
    <row r="9">
      <c r="A9" s="26" t="n"/>
      <c r="B9" s="22" t="n"/>
      <c r="C9" s="22" t="n"/>
      <c r="D9" s="22" t="n"/>
      <c r="E9" s="22" t="n"/>
      <c r="F9" s="22" t="n"/>
      <c r="G9" s="22" t="n"/>
      <c r="H9" s="22" t="n"/>
      <c r="I9" s="22" t="n"/>
    </row>
    <row r="10">
      <c r="A10" s="26" t="n"/>
      <c r="B10" s="22" t="n"/>
      <c r="C10" s="22" t="n"/>
      <c r="D10" s="22" t="n"/>
      <c r="E10" s="22" t="n"/>
      <c r="F10" s="22" t="n"/>
      <c r="G10" s="22" t="n"/>
      <c r="H10" s="22" t="n"/>
      <c r="I10" s="22" t="n"/>
    </row>
    <row r="11">
      <c r="A11" s="26" t="n"/>
      <c r="B11" s="22" t="n"/>
      <c r="C11" s="22" t="n"/>
      <c r="D11" s="22" t="n"/>
      <c r="E11" s="22" t="n"/>
      <c r="F11" s="22" t="n"/>
      <c r="G11" s="22" t="n"/>
      <c r="H11" s="22" t="n"/>
      <c r="I11" s="22" t="n"/>
    </row>
    <row r="12">
      <c r="A12" s="26" t="n"/>
      <c r="B12" s="22" t="n"/>
      <c r="C12" s="22" t="n"/>
      <c r="D12" s="22" t="n"/>
      <c r="E12" s="22" t="n"/>
      <c r="F12" s="22" t="n"/>
      <c r="G12" s="22" t="n"/>
      <c r="H12" s="22" t="n"/>
      <c r="I12" s="22" t="n"/>
    </row>
    <row r="13">
      <c r="A13" s="26" t="n"/>
      <c r="B13" s="22" t="n"/>
      <c r="C13" s="22" t="n"/>
      <c r="D13" s="22" t="n"/>
      <c r="E13" s="22" t="n"/>
      <c r="F13" s="22" t="n"/>
      <c r="G13" s="22" t="n"/>
      <c r="H13" s="22" t="n"/>
      <c r="I13" s="22" t="n"/>
    </row>
    <row r="14">
      <c r="A14" s="26" t="n"/>
      <c r="B14" s="22" t="n"/>
      <c r="C14" s="22" t="n"/>
      <c r="D14" s="22" t="n"/>
      <c r="E14" s="22" t="n"/>
      <c r="F14" s="22" t="n"/>
      <c r="G14" s="22" t="n"/>
      <c r="H14" s="22" t="n"/>
      <c r="I14" s="22" t="n"/>
    </row>
    <row r="15">
      <c r="A15" s="26" t="n"/>
      <c r="B15" s="22" t="n"/>
      <c r="C15" s="22" t="n"/>
      <c r="D15" s="22" t="n"/>
      <c r="E15" s="22" t="n"/>
      <c r="F15" s="22" t="n"/>
      <c r="G15" s="22" t="n"/>
      <c r="H15" s="22" t="n"/>
      <c r="I15" s="22" t="n"/>
    </row>
    <row r="16">
      <c r="A16" s="26" t="n"/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>
      <c r="A17" s="26" t="n"/>
      <c r="B17" s="22" t="n"/>
      <c r="C17" s="22" t="n"/>
      <c r="D17" s="22" t="n"/>
      <c r="E17" s="22" t="n"/>
      <c r="F17" s="22" t="n"/>
      <c r="G17" s="22" t="n"/>
      <c r="H17" s="22" t="n"/>
      <c r="I17" s="22" t="n"/>
    </row>
    <row r="18">
      <c r="A18" s="26" t="n"/>
      <c r="B18" s="22" t="n"/>
      <c r="C18" s="22" t="n"/>
      <c r="D18" s="22" t="n"/>
      <c r="E18" s="22" t="n"/>
      <c r="F18" s="22" t="n"/>
      <c r="G18" s="22" t="n"/>
      <c r="H18" s="22" t="n"/>
      <c r="I18" s="22" t="n"/>
    </row>
    <row r="19">
      <c r="A19" s="26" t="n"/>
      <c r="B19" s="22" t="n"/>
      <c r="C19" s="22" t="n"/>
      <c r="D19" s="22" t="n"/>
      <c r="E19" s="22" t="n"/>
      <c r="F19" s="22" t="n"/>
      <c r="G19" s="22" t="n"/>
      <c r="H19" s="22" t="n"/>
      <c r="I19" s="22" t="n"/>
    </row>
    <row r="20">
      <c r="A20" s="26" t="n"/>
      <c r="B20" s="22" t="n"/>
      <c r="C20" s="22" t="n"/>
      <c r="D20" s="22" t="n"/>
      <c r="E20" s="22" t="n"/>
      <c r="F20" s="22" t="n"/>
      <c r="G20" s="22" t="n"/>
      <c r="H20" s="22" t="n"/>
      <c r="I20" s="22" t="n"/>
    </row>
    <row r="21">
      <c r="A21" s="26" t="n"/>
      <c r="B21" s="22" t="n"/>
      <c r="C21" s="22" t="n"/>
      <c r="D21" s="22" t="n"/>
      <c r="E21" s="22" t="n"/>
      <c r="F21" s="22" t="n"/>
      <c r="G21" s="22" t="n"/>
      <c r="H21" s="22" t="n"/>
      <c r="I21" s="22" t="n"/>
    </row>
    <row r="22">
      <c r="A22" s="26" t="n"/>
      <c r="B22" s="22" t="n"/>
      <c r="C22" s="22" t="n"/>
      <c r="D22" s="22" t="n"/>
      <c r="E22" s="22" t="n"/>
      <c r="F22" s="22" t="n"/>
      <c r="G22" s="22" t="n"/>
      <c r="H22" s="22" t="n"/>
      <c r="I22" s="22" t="n"/>
    </row>
    <row r="23">
      <c r="A23" s="26" t="n"/>
      <c r="B23" s="22" t="n"/>
      <c r="C23" s="22" t="n"/>
      <c r="D23" s="22" t="n"/>
      <c r="E23" s="22" t="n"/>
      <c r="F23" s="22" t="n"/>
      <c r="G23" s="22" t="n"/>
      <c r="H23" s="22" t="n"/>
      <c r="I23" s="22" t="n"/>
    </row>
    <row r="24">
      <c r="A24" s="26" t="n"/>
      <c r="B24" s="22" t="n"/>
      <c r="C24" s="22" t="n"/>
      <c r="D24" s="22" t="n"/>
      <c r="E24" s="22" t="n"/>
      <c r="F24" s="22" t="n"/>
      <c r="G24" s="22" t="n"/>
      <c r="H24" s="22" t="n"/>
      <c r="I24" s="22" t="n"/>
    </row>
    <row r="25">
      <c r="A25" s="26" t="n"/>
      <c r="B25" s="22" t="n"/>
      <c r="C25" s="22" t="n"/>
      <c r="D25" s="22" t="n"/>
      <c r="E25" s="22" t="n"/>
      <c r="F25" s="22" t="n"/>
      <c r="G25" s="22" t="n"/>
      <c r="H25" s="22" t="n"/>
      <c r="I25" s="22" t="n"/>
    </row>
    <row r="26">
      <c r="A26" s="26" t="n"/>
      <c r="B26" s="22" t="n"/>
      <c r="C26" s="22" t="n"/>
      <c r="D26" s="22" t="n"/>
      <c r="E26" s="22" t="n"/>
      <c r="F26" s="22" t="n"/>
      <c r="G26" s="22" t="n"/>
      <c r="H26" s="22" t="n"/>
      <c r="I26" s="22" t="n"/>
    </row>
    <row r="27">
      <c r="A27" s="26" t="n"/>
      <c r="B27" s="22" t="n"/>
      <c r="C27" s="22" t="n"/>
      <c r="D27" s="22" t="n"/>
      <c r="E27" s="22" t="n"/>
      <c r="F27" s="22" t="n"/>
      <c r="G27" s="22" t="n"/>
      <c r="H27" s="22" t="n"/>
      <c r="I27" s="22" t="n"/>
    </row>
    <row r="28">
      <c r="A28" s="26" t="n"/>
      <c r="B28" s="22" t="n"/>
      <c r="C28" s="22" t="n"/>
      <c r="D28" s="22" t="n"/>
      <c r="E28" s="22" t="n"/>
      <c r="F28" s="22" t="n"/>
      <c r="G28" s="22" t="n"/>
      <c r="H28" s="22" t="n"/>
      <c r="I28" s="22" t="n"/>
    </row>
    <row r="29">
      <c r="A29" s="26" t="n"/>
      <c r="B29" s="22" t="n"/>
      <c r="C29" s="22" t="n"/>
      <c r="D29" s="22" t="n"/>
      <c r="E29" s="22" t="n"/>
      <c r="F29" s="22" t="n"/>
      <c r="G29" s="22" t="n"/>
      <c r="H29" s="22" t="n"/>
      <c r="I29" s="22" t="n"/>
    </row>
    <row r="30">
      <c r="A30" s="26" t="n"/>
      <c r="B30" s="22" t="n"/>
      <c r="C30" s="22" t="n"/>
      <c r="D30" s="22" t="n"/>
      <c r="E30" s="22" t="n"/>
      <c r="F30" s="22" t="n"/>
      <c r="G30" s="22" t="n"/>
      <c r="H30" s="22" t="n"/>
      <c r="I30" s="22" t="n"/>
    </row>
    <row r="31">
      <c r="A31" s="26" t="n"/>
      <c r="B31" s="22" t="n"/>
      <c r="C31" s="22" t="n"/>
      <c r="D31" s="22" t="n"/>
      <c r="E31" s="22" t="n"/>
      <c r="F31" s="22" t="n"/>
      <c r="G31" s="22" t="n"/>
      <c r="H31" s="22" t="n"/>
      <c r="I31" s="22" t="n"/>
    </row>
    <row r="32">
      <c r="A32" s="26" t="n"/>
      <c r="B32" s="22" t="n"/>
      <c r="C32" s="22" t="n"/>
      <c r="D32" s="22" t="n"/>
      <c r="E32" s="22" t="n"/>
      <c r="F32" s="22" t="n"/>
      <c r="G32" s="22" t="n"/>
      <c r="H32" s="22" t="n"/>
      <c r="I32" s="22" t="n"/>
    </row>
    <row r="33">
      <c r="A33" s="26" t="n"/>
      <c r="B33" s="22" t="n"/>
      <c r="C33" s="22" t="n"/>
      <c r="D33" s="22" t="n"/>
      <c r="E33" s="22" t="n"/>
      <c r="F33" s="22" t="n"/>
      <c r="G33" s="22" t="n"/>
      <c r="H33" s="22" t="n"/>
      <c r="I33" s="22" t="n"/>
    </row>
    <row r="34">
      <c r="A34" s="26" t="n"/>
      <c r="B34" s="22" t="n"/>
      <c r="C34" s="22" t="n"/>
      <c r="D34" s="22" t="n"/>
      <c r="E34" s="22" t="n"/>
      <c r="F34" s="22" t="n"/>
      <c r="G34" s="22" t="n"/>
      <c r="H34" s="22" t="n"/>
      <c r="I34" s="22" t="n"/>
    </row>
    <row r="35">
      <c r="A35" s="26" t="n"/>
      <c r="B35" s="22" t="n"/>
      <c r="C35" s="22" t="n"/>
      <c r="D35" s="22" t="n"/>
      <c r="E35" s="22" t="n"/>
      <c r="F35" s="22" t="n"/>
      <c r="G35" s="22" t="n"/>
      <c r="H35" s="22" t="n"/>
      <c r="I35" s="22" t="n"/>
    </row>
    <row r="36">
      <c r="A36" s="26" t="n"/>
      <c r="B36" s="22" t="n"/>
      <c r="C36" s="22" t="n"/>
      <c r="D36" s="22" t="n"/>
      <c r="E36" s="22" t="n"/>
      <c r="F36" s="22" t="n"/>
      <c r="G36" s="22" t="n"/>
      <c r="H36" s="22" t="n"/>
      <c r="I36" s="22" t="n"/>
    </row>
    <row r="37">
      <c r="A37" s="26" t="n"/>
      <c r="B37" s="22" t="n"/>
      <c r="C37" s="22" t="n"/>
      <c r="D37" s="22" t="n"/>
      <c r="E37" s="22" t="n"/>
      <c r="F37" s="22" t="n"/>
      <c r="G37" s="22" t="n"/>
      <c r="H37" s="22" t="n"/>
      <c r="I37" s="22" t="n"/>
    </row>
    <row r="38">
      <c r="A38" s="26" t="n"/>
      <c r="B38" s="22" t="n"/>
      <c r="C38" s="22" t="n"/>
      <c r="D38" s="22" t="n"/>
      <c r="E38" s="22" t="n"/>
      <c r="F38" s="22" t="n"/>
      <c r="G38" s="22" t="n"/>
      <c r="H38" s="22" t="n"/>
      <c r="I38" s="22" t="n"/>
    </row>
    <row r="39">
      <c r="A39" s="26" t="n"/>
      <c r="B39" s="22" t="n"/>
      <c r="C39" s="22" t="n"/>
      <c r="D39" s="22" t="n"/>
      <c r="E39" s="22" t="n"/>
      <c r="F39" s="22" t="n"/>
      <c r="G39" s="22" t="n"/>
      <c r="H39" s="22" t="n"/>
      <c r="I39" s="22" t="n"/>
    </row>
    <row r="40">
      <c r="A40" s="26" t="n"/>
      <c r="B40" s="22" t="n"/>
      <c r="C40" s="22" t="n"/>
      <c r="D40" s="22" t="n"/>
      <c r="E40" s="22" t="n"/>
      <c r="F40" s="22" t="n"/>
      <c r="G40" s="22" t="n"/>
      <c r="H40" s="22" t="n"/>
      <c r="I40" s="22" t="n"/>
    </row>
    <row r="41">
      <c r="A41" s="26" t="n"/>
      <c r="B41" s="22" t="n"/>
      <c r="C41" s="22" t="n"/>
      <c r="D41" s="22" t="n"/>
      <c r="E41" s="22" t="n"/>
      <c r="F41" s="22" t="n"/>
      <c r="G41" s="22" t="n"/>
      <c r="H41" s="22" t="n"/>
      <c r="I41" s="22" t="n"/>
    </row>
    <row r="42">
      <c r="A42" s="26" t="n"/>
      <c r="B42" s="22" t="n"/>
      <c r="C42" s="22" t="n"/>
      <c r="D42" s="22" t="n"/>
      <c r="E42" s="22" t="n"/>
      <c r="F42" s="22" t="n"/>
      <c r="G42" s="22" t="n"/>
      <c r="H42" s="22" t="n"/>
      <c r="I42" s="22" t="n"/>
    </row>
    <row r="43">
      <c r="A43" s="26" t="n"/>
      <c r="B43" s="22" t="n"/>
      <c r="C43" s="22" t="n"/>
      <c r="D43" s="22" t="n"/>
      <c r="E43" s="22" t="n"/>
      <c r="F43" s="22" t="n"/>
      <c r="G43" s="22" t="n"/>
      <c r="H43" s="22" t="n"/>
      <c r="I43" s="22" t="n"/>
    </row>
    <row r="44">
      <c r="A44" s="26" t="n"/>
      <c r="B44" s="22" t="n"/>
      <c r="C44" s="22" t="n"/>
      <c r="D44" s="22" t="n"/>
      <c r="E44" s="22" t="n"/>
      <c r="F44" s="22" t="n"/>
      <c r="G44" s="22" t="n"/>
      <c r="H44" s="22" t="n"/>
      <c r="I44" s="22" t="n"/>
    </row>
    <row r="45">
      <c r="A45" s="26" t="n"/>
      <c r="B45" s="22" t="n"/>
      <c r="C45" s="22" t="n"/>
      <c r="D45" s="22" t="n"/>
      <c r="E45" s="22" t="n"/>
      <c r="F45" s="22" t="n"/>
      <c r="G45" s="22" t="n"/>
      <c r="H45" s="22" t="n"/>
      <c r="I45" s="22" t="n"/>
    </row>
    <row r="46">
      <c r="A46" s="26" t="n"/>
      <c r="B46" s="22" t="n"/>
      <c r="C46" s="22" t="n"/>
      <c r="D46" s="22" t="n"/>
      <c r="E46" s="22" t="n"/>
      <c r="F46" s="22" t="n"/>
      <c r="G46" s="22" t="n"/>
      <c r="H46" s="22" t="n"/>
      <c r="I46" s="22" t="n"/>
    </row>
    <row r="47">
      <c r="A47" s="26" t="n"/>
      <c r="B47" s="22" t="n"/>
      <c r="C47" s="22" t="n"/>
      <c r="D47" s="22" t="n"/>
      <c r="E47" s="22" t="n"/>
      <c r="F47" s="22" t="n"/>
      <c r="G47" s="22" t="n"/>
      <c r="H47" s="22" t="n"/>
      <c r="I47" s="22" t="n"/>
    </row>
    <row r="48">
      <c r="A48" s="26" t="n"/>
      <c r="B48" s="22" t="n"/>
      <c r="C48" s="22" t="n"/>
      <c r="D48" s="22" t="n"/>
      <c r="E48" s="22" t="n"/>
      <c r="F48" s="22" t="n"/>
      <c r="G48" s="22" t="n"/>
      <c r="H48" s="22" t="n"/>
      <c r="I48" s="22" t="n"/>
    </row>
    <row r="49">
      <c r="A49" s="26" t="n"/>
      <c r="B49" s="22" t="n"/>
      <c r="C49" s="22" t="n"/>
      <c r="D49" s="22" t="n"/>
      <c r="E49" s="22" t="n"/>
      <c r="F49" s="22" t="n"/>
      <c r="G49" s="22" t="n"/>
      <c r="H49" s="22" t="n"/>
      <c r="I49" s="22" t="n"/>
    </row>
    <row r="50">
      <c r="A50" s="26" t="n"/>
      <c r="B50" s="22" t="n"/>
      <c r="C50" s="22" t="n"/>
      <c r="D50" s="22" t="n"/>
      <c r="E50" s="22" t="n"/>
      <c r="F50" s="22" t="n"/>
      <c r="G50" s="22" t="n"/>
      <c r="H50" s="22" t="n"/>
      <c r="I50" s="22" t="n"/>
    </row>
    <row r="51">
      <c r="A51" s="26" t="n"/>
      <c r="B51" s="22" t="n"/>
      <c r="C51" s="22" t="n"/>
      <c r="D51" s="22" t="n"/>
      <c r="E51" s="22" t="n"/>
      <c r="F51" s="22" t="n"/>
      <c r="G51" s="22" t="n"/>
      <c r="H51" s="22" t="n"/>
      <c r="I51" s="22" t="n"/>
    </row>
    <row r="52">
      <c r="A52" s="26" t="n"/>
      <c r="B52" s="22" t="n"/>
      <c r="C52" s="22" t="n"/>
      <c r="D52" s="22" t="n"/>
      <c r="E52" s="22" t="n"/>
      <c r="F52" s="22" t="n"/>
      <c r="G52" s="22" t="n"/>
      <c r="H52" s="22" t="n"/>
      <c r="I52" s="22" t="n"/>
    </row>
    <row r="53">
      <c r="A53" s="26" t="n"/>
      <c r="B53" s="22" t="n"/>
      <c r="C53" s="22" t="n"/>
      <c r="D53" s="22" t="n"/>
      <c r="E53" s="22" t="n"/>
      <c r="F53" s="22" t="n"/>
      <c r="G53" s="22" t="n"/>
      <c r="H53" s="22" t="n"/>
      <c r="I53" s="22" t="n"/>
    </row>
    <row r="54">
      <c r="A54" s="26" t="n"/>
      <c r="B54" s="22" t="n"/>
      <c r="C54" s="22" t="n"/>
      <c r="D54" s="22" t="n"/>
      <c r="E54" s="22" t="n"/>
      <c r="F54" s="22" t="n"/>
      <c r="G54" s="22" t="n"/>
      <c r="H54" s="22" t="n"/>
      <c r="I54" s="22" t="n"/>
    </row>
    <row r="55">
      <c r="A55" s="26" t="n"/>
      <c r="B55" s="22" t="n"/>
      <c r="C55" s="22" t="n"/>
      <c r="D55" s="22" t="n"/>
      <c r="E55" s="22" t="n"/>
      <c r="F55" s="22" t="n"/>
      <c r="G55" s="22" t="n"/>
      <c r="H55" s="22" t="n"/>
      <c r="I55" s="22" t="n"/>
    </row>
    <row r="56">
      <c r="A56" s="26" t="n"/>
      <c r="B56" s="22" t="n"/>
      <c r="C56" s="22" t="n"/>
      <c r="D56" s="22" t="n"/>
      <c r="E56" s="22" t="n"/>
      <c r="F56" s="22" t="n"/>
      <c r="G56" s="22" t="n"/>
      <c r="H56" s="22" t="n"/>
      <c r="I56" s="22" t="n"/>
    </row>
    <row r="57">
      <c r="A57" s="26" t="n"/>
      <c r="B57" s="22" t="n"/>
      <c r="C57" s="22" t="n"/>
      <c r="D57" s="22" t="n"/>
      <c r="E57" s="22" t="n"/>
      <c r="F57" s="22" t="n"/>
      <c r="G57" s="22" t="n"/>
      <c r="H57" s="22" t="n"/>
      <c r="I57" s="22" t="n"/>
    </row>
    <row r="58">
      <c r="A58" s="26" t="n"/>
      <c r="B58" s="22" t="n"/>
      <c r="C58" s="22" t="n"/>
      <c r="D58" s="22" t="n"/>
      <c r="E58" s="22" t="n"/>
      <c r="F58" s="22" t="n"/>
      <c r="G58" s="22" t="n"/>
      <c r="H58" s="22" t="n"/>
      <c r="I58" s="22" t="n"/>
    </row>
    <row r="59">
      <c r="A59" s="26" t="n"/>
      <c r="B59" s="22" t="n"/>
      <c r="C59" s="22" t="n"/>
      <c r="D59" s="22" t="n"/>
      <c r="E59" s="22" t="n"/>
      <c r="F59" s="22" t="n"/>
      <c r="G59" s="22" t="n"/>
      <c r="H59" s="22" t="n"/>
      <c r="I59" s="22" t="n"/>
    </row>
    <row r="60">
      <c r="A60" s="26" t="n"/>
      <c r="B60" s="22" t="n"/>
      <c r="C60" s="22" t="n"/>
      <c r="D60" s="22" t="n"/>
      <c r="E60" s="22" t="n"/>
      <c r="F60" s="22" t="n"/>
      <c r="G60" s="22" t="n"/>
      <c r="H60" s="22" t="n"/>
      <c r="I60" s="22" t="n"/>
    </row>
    <row r="61">
      <c r="A61" s="26" t="n"/>
      <c r="B61" s="22" t="n"/>
      <c r="C61" s="22" t="n"/>
      <c r="D61" s="22" t="n"/>
      <c r="E61" s="22" t="n"/>
      <c r="F61" s="22" t="n"/>
      <c r="G61" s="22" t="n"/>
      <c r="H61" s="22" t="n"/>
      <c r="I61" s="22" t="n"/>
    </row>
    <row r="62">
      <c r="A62" s="26" t="n"/>
      <c r="B62" s="22" t="n"/>
      <c r="C62" s="22" t="n"/>
      <c r="D62" s="22" t="n"/>
      <c r="E62" s="22" t="n"/>
      <c r="F62" s="22" t="n"/>
      <c r="G62" s="22" t="n"/>
      <c r="H62" s="22" t="n"/>
      <c r="I62" s="22" t="n"/>
    </row>
    <row r="63">
      <c r="A63" s="26" t="n"/>
      <c r="B63" s="22" t="n"/>
      <c r="C63" s="22" t="n"/>
      <c r="D63" s="22" t="n"/>
      <c r="E63" s="22" t="n"/>
      <c r="F63" s="22" t="n"/>
      <c r="G63" s="22" t="n"/>
      <c r="H63" s="22" t="n"/>
      <c r="I63" s="22" t="n"/>
    </row>
    <row r="64">
      <c r="A64" s="26" t="n"/>
      <c r="B64" s="22" t="n"/>
      <c r="C64" s="22" t="n"/>
      <c r="D64" s="22" t="n"/>
      <c r="E64" s="22" t="n"/>
      <c r="F64" s="22" t="n"/>
      <c r="G64" s="22" t="n"/>
      <c r="H64" s="22" t="n"/>
      <c r="I64" s="22" t="n"/>
    </row>
    <row r="65">
      <c r="A65" s="26" t="n"/>
      <c r="B65" s="22" t="n"/>
      <c r="C65" s="22" t="n"/>
      <c r="D65" s="22" t="n"/>
      <c r="E65" s="22" t="n"/>
      <c r="F65" s="22" t="n"/>
      <c r="G65" s="22" t="n"/>
      <c r="H65" s="22" t="n"/>
      <c r="I65" s="22" t="n"/>
    </row>
    <row r="66">
      <c r="A66" s="26" t="n"/>
      <c r="B66" s="22" t="n"/>
      <c r="C66" s="22" t="n"/>
      <c r="D66" s="22" t="n"/>
      <c r="E66" s="22" t="n"/>
      <c r="F66" s="22" t="n"/>
      <c r="G66" s="22" t="n"/>
      <c r="H66" s="22" t="n"/>
      <c r="I66" s="22" t="n"/>
    </row>
    <row r="67">
      <c r="A67" s="26" t="n"/>
      <c r="B67" s="22" t="n"/>
      <c r="C67" s="22" t="n"/>
      <c r="D67" s="22" t="n"/>
      <c r="E67" s="22" t="n"/>
      <c r="F67" s="22" t="n"/>
      <c r="G67" s="22" t="n"/>
      <c r="H67" s="22" t="n"/>
      <c r="I67" s="22" t="n"/>
    </row>
    <row r="68">
      <c r="A68" s="26" t="n"/>
      <c r="B68" s="22" t="n"/>
      <c r="C68" s="22" t="n"/>
      <c r="D68" s="22" t="n"/>
      <c r="E68" s="22" t="n"/>
      <c r="F68" s="22" t="n"/>
      <c r="G68" s="22" t="n"/>
      <c r="H68" s="22" t="n"/>
      <c r="I68" s="22" t="n"/>
    </row>
    <row r="69">
      <c r="A69" s="26" t="n"/>
      <c r="B69" s="22" t="n"/>
      <c r="C69" s="22" t="n"/>
      <c r="D69" s="22" t="n"/>
      <c r="E69" s="22" t="n"/>
      <c r="F69" s="22" t="n"/>
      <c r="G69" s="22" t="n"/>
      <c r="H69" s="22" t="n"/>
      <c r="I69" s="22" t="n"/>
    </row>
    <row r="70">
      <c r="A70" s="26" t="n"/>
      <c r="B70" s="22" t="n"/>
      <c r="C70" s="22" t="n"/>
      <c r="D70" s="22" t="n"/>
      <c r="E70" s="22" t="n"/>
      <c r="F70" s="22" t="n"/>
      <c r="G70" s="22" t="n"/>
      <c r="H70" s="22" t="n"/>
      <c r="I70" s="22" t="n"/>
    </row>
    <row r="71">
      <c r="A71" s="26" t="n"/>
      <c r="B71" s="22" t="n"/>
      <c r="C71" s="22" t="n"/>
      <c r="D71" s="22" t="n"/>
      <c r="E71" s="22" t="n"/>
      <c r="F71" s="22" t="n"/>
      <c r="G71" s="22" t="n"/>
      <c r="H71" s="22" t="n"/>
      <c r="I71" s="22" t="n"/>
    </row>
    <row r="72">
      <c r="A72" s="26" t="n"/>
      <c r="B72" s="22" t="n"/>
      <c r="C72" s="22" t="n"/>
      <c r="D72" s="22" t="n"/>
      <c r="E72" s="22" t="n"/>
      <c r="F72" s="22" t="n"/>
      <c r="G72" s="22" t="n"/>
      <c r="H72" s="22" t="n"/>
      <c r="I72" s="22" t="n"/>
    </row>
    <row r="73">
      <c r="A73" s="26" t="n"/>
      <c r="B73" s="22" t="n"/>
      <c r="C73" s="22" t="n"/>
      <c r="D73" s="22" t="n"/>
      <c r="E73" s="22" t="n"/>
      <c r="F73" s="22" t="n"/>
      <c r="G73" s="22" t="n"/>
      <c r="H73" s="22" t="n"/>
      <c r="I73" s="22" t="n"/>
    </row>
    <row r="74">
      <c r="A74" s="26" t="n"/>
      <c r="B74" s="22" t="n"/>
      <c r="C74" s="22" t="n"/>
      <c r="D74" s="22" t="n"/>
      <c r="E74" s="22" t="n"/>
      <c r="F74" s="22" t="n"/>
      <c r="G74" s="22" t="n"/>
      <c r="H74" s="22" t="n"/>
      <c r="I74" s="22" t="n"/>
    </row>
    <row r="75">
      <c r="A75" s="26" t="n"/>
      <c r="B75" s="22" t="n"/>
      <c r="C75" s="22" t="n"/>
      <c r="D75" s="22" t="n"/>
      <c r="E75" s="22" t="n"/>
      <c r="F75" s="22" t="n"/>
      <c r="G75" s="22" t="n"/>
      <c r="H75" s="22" t="n"/>
      <c r="I75" s="22" t="n"/>
    </row>
    <row r="76">
      <c r="A76" s="26" t="n"/>
      <c r="B76" s="22" t="n"/>
      <c r="C76" s="22" t="n"/>
      <c r="D76" s="22" t="n"/>
      <c r="E76" s="22" t="n"/>
      <c r="F76" s="22" t="n"/>
      <c r="G76" s="22" t="n"/>
      <c r="H76" s="22" t="n"/>
      <c r="I76" s="22" t="n"/>
    </row>
    <row r="77">
      <c r="A77" s="26" t="n"/>
      <c r="B77" s="22" t="n"/>
      <c r="C77" s="22" t="n"/>
      <c r="D77" s="22" t="n"/>
      <c r="E77" s="22" t="n"/>
      <c r="F77" s="22" t="n"/>
      <c r="G77" s="22" t="n"/>
      <c r="H77" s="22" t="n"/>
      <c r="I77" s="22" t="n"/>
    </row>
    <row r="78">
      <c r="A78" s="26" t="n"/>
      <c r="B78" s="22" t="n"/>
      <c r="C78" s="22" t="n"/>
      <c r="D78" s="22" t="n"/>
      <c r="E78" s="22" t="n"/>
      <c r="F78" s="22" t="n"/>
      <c r="G78" s="22" t="n"/>
      <c r="H78" s="22" t="n"/>
      <c r="I78" s="22" t="n"/>
    </row>
    <row r="79">
      <c r="A79" s="26" t="n"/>
      <c r="B79" s="22" t="n"/>
      <c r="C79" s="22" t="n"/>
      <c r="D79" s="22" t="n"/>
      <c r="E79" s="22" t="n"/>
      <c r="F79" s="22" t="n"/>
      <c r="G79" s="22" t="n"/>
      <c r="H79" s="22" t="n"/>
      <c r="I79" s="22" t="n"/>
    </row>
    <row r="80">
      <c r="A80" s="26" t="n"/>
      <c r="B80" s="22" t="n"/>
      <c r="C80" s="22" t="n"/>
      <c r="D80" s="22" t="n"/>
      <c r="E80" s="22" t="n"/>
      <c r="F80" s="22" t="n"/>
      <c r="G80" s="22" t="n"/>
      <c r="H80" s="22" t="n"/>
      <c r="I80" s="22" t="n"/>
    </row>
    <row r="81">
      <c r="A81" s="26" t="n"/>
      <c r="B81" s="22" t="n"/>
      <c r="C81" s="22" t="n"/>
      <c r="D81" s="22" t="n"/>
      <c r="E81" s="22" t="n"/>
      <c r="F81" s="22" t="n"/>
      <c r="G81" s="22" t="n"/>
      <c r="H81" s="22" t="n"/>
      <c r="I81" s="22" t="n"/>
    </row>
    <row r="82">
      <c r="A82" s="26" t="n"/>
      <c r="B82" s="22" t="n"/>
      <c r="C82" s="22" t="n"/>
      <c r="D82" s="22" t="n"/>
      <c r="E82" s="22" t="n"/>
      <c r="F82" s="22" t="n"/>
      <c r="G82" s="22" t="n"/>
      <c r="H82" s="22" t="n"/>
      <c r="I82" s="22" t="n"/>
    </row>
    <row r="83">
      <c r="A83" s="26" t="n"/>
      <c r="B83" s="22" t="n"/>
      <c r="C83" s="22" t="n"/>
      <c r="D83" s="22" t="n"/>
      <c r="E83" s="22" t="n"/>
      <c r="F83" s="22" t="n"/>
      <c r="G83" s="22" t="n"/>
      <c r="H83" s="22" t="n"/>
      <c r="I83" s="22" t="n"/>
    </row>
    <row r="84">
      <c r="A84" s="26" t="n"/>
      <c r="B84" s="22" t="n"/>
      <c r="C84" s="22" t="n"/>
      <c r="D84" s="22" t="n"/>
      <c r="E84" s="22" t="n"/>
      <c r="F84" s="22" t="n"/>
      <c r="G84" s="22" t="n"/>
      <c r="H84" s="22" t="n"/>
      <c r="I84" s="22" t="n"/>
    </row>
    <row r="85">
      <c r="A85" s="26" t="n"/>
      <c r="B85" s="22" t="n"/>
      <c r="C85" s="22" t="n"/>
      <c r="D85" s="22" t="n"/>
      <c r="E85" s="22" t="n"/>
      <c r="F85" s="22" t="n"/>
      <c r="G85" s="22" t="n"/>
      <c r="H85" s="22" t="n"/>
      <c r="I85" s="22" t="n"/>
    </row>
    <row r="86">
      <c r="A86" s="26" t="n"/>
      <c r="B86" s="22" t="n"/>
      <c r="C86" s="22" t="n"/>
      <c r="D86" s="22" t="n"/>
      <c r="E86" s="22" t="n"/>
      <c r="F86" s="22" t="n"/>
      <c r="G86" s="22" t="n"/>
      <c r="H86" s="22" t="n"/>
      <c r="I86" s="22" t="n"/>
    </row>
    <row r="87">
      <c r="A87" s="26" t="n"/>
      <c r="B87" s="22" t="n"/>
      <c r="C87" s="22" t="n"/>
      <c r="D87" s="22" t="n"/>
      <c r="E87" s="22" t="n"/>
      <c r="F87" s="22" t="n"/>
      <c r="G87" s="22" t="n"/>
      <c r="H87" s="22" t="n"/>
      <c r="I87" s="22" t="n"/>
    </row>
    <row r="88">
      <c r="A88" s="26" t="n"/>
      <c r="B88" s="22" t="n"/>
      <c r="C88" s="22" t="n"/>
      <c r="D88" s="22" t="n"/>
      <c r="E88" s="22" t="n"/>
      <c r="F88" s="22" t="n"/>
      <c r="G88" s="22" t="n"/>
      <c r="H88" s="22" t="n"/>
      <c r="I88" s="22" t="n"/>
    </row>
    <row r="89">
      <c r="A89" s="26" t="n"/>
      <c r="B89" s="22" t="n"/>
      <c r="C89" s="22" t="n"/>
      <c r="D89" s="22" t="n"/>
      <c r="E89" s="22" t="n"/>
      <c r="F89" s="22" t="n"/>
      <c r="G89" s="22" t="n"/>
      <c r="H89" s="22" t="n"/>
      <c r="I89" s="22" t="n"/>
    </row>
    <row r="90">
      <c r="A90" s="26" t="n"/>
      <c r="B90" s="22" t="n"/>
      <c r="C90" s="22" t="n"/>
      <c r="D90" s="22" t="n"/>
      <c r="E90" s="22" t="n"/>
      <c r="F90" s="22" t="n"/>
      <c r="G90" s="22" t="n"/>
      <c r="H90" s="22" t="n"/>
      <c r="I90" s="22" t="n"/>
    </row>
    <row r="91">
      <c r="A91" s="26" t="n"/>
      <c r="B91" s="22" t="n"/>
      <c r="C91" s="22" t="n"/>
      <c r="D91" s="22" t="n"/>
      <c r="E91" s="22" t="n"/>
      <c r="F91" s="22" t="n"/>
      <c r="G91" s="22" t="n"/>
      <c r="H91" s="22" t="n"/>
      <c r="I91" s="22" t="n"/>
    </row>
    <row r="92">
      <c r="A92" s="26" t="n"/>
      <c r="B92" s="22" t="n"/>
      <c r="C92" s="22" t="n"/>
      <c r="D92" s="22" t="n"/>
      <c r="E92" s="22" t="n"/>
      <c r="F92" s="22" t="n"/>
      <c r="G92" s="22" t="n"/>
      <c r="H92" s="22" t="n"/>
      <c r="I92" s="22" t="n"/>
    </row>
    <row r="93">
      <c r="A93" s="26" t="n"/>
      <c r="B93" s="22" t="n"/>
      <c r="C93" s="22" t="n"/>
      <c r="D93" s="22" t="n"/>
      <c r="E93" s="22" t="n"/>
      <c r="F93" s="22" t="n"/>
      <c r="G93" s="22" t="n"/>
      <c r="H93" s="22" t="n"/>
      <c r="I93" s="22" t="n"/>
    </row>
    <row r="94">
      <c r="A94" s="26" t="n"/>
      <c r="B94" s="22" t="n"/>
      <c r="C94" s="22" t="n"/>
      <c r="D94" s="22" t="n"/>
      <c r="E94" s="22" t="n"/>
      <c r="F94" s="22" t="n"/>
      <c r="G94" s="22" t="n"/>
      <c r="H94" s="22" t="n"/>
      <c r="I94" s="22" t="n"/>
    </row>
    <row r="95">
      <c r="A95" s="26" t="n"/>
      <c r="B95" s="22" t="n"/>
      <c r="C95" s="22" t="n"/>
      <c r="D95" s="22" t="n"/>
      <c r="E95" s="22" t="n"/>
      <c r="F95" s="22" t="n"/>
      <c r="G95" s="22" t="n"/>
      <c r="H95" s="22" t="n"/>
      <c r="I95" s="22" t="n"/>
    </row>
    <row r="96">
      <c r="A96" s="26" t="n"/>
      <c r="B96" s="22" t="n"/>
      <c r="C96" s="22" t="n"/>
      <c r="D96" s="22" t="n"/>
      <c r="E96" s="22" t="n"/>
      <c r="F96" s="22" t="n"/>
      <c r="G96" s="22" t="n"/>
      <c r="H96" s="22" t="n"/>
      <c r="I96" s="22" t="n"/>
    </row>
    <row r="97">
      <c r="A97" s="26" t="n"/>
      <c r="B97" s="22" t="n"/>
      <c r="C97" s="22" t="n"/>
      <c r="D97" s="22" t="n"/>
      <c r="E97" s="22" t="n"/>
      <c r="F97" s="22" t="n"/>
      <c r="G97" s="22" t="n"/>
      <c r="H97" s="22" t="n"/>
      <c r="I97" s="22" t="n"/>
    </row>
    <row r="98">
      <c r="A98" s="26" t="n"/>
      <c r="B98" s="22" t="n"/>
      <c r="C98" s="22" t="n"/>
      <c r="D98" s="22" t="n"/>
      <c r="E98" s="22" t="n"/>
      <c r="F98" s="22" t="n"/>
      <c r="G98" s="22" t="n"/>
      <c r="H98" s="22" t="n"/>
      <c r="I98" s="22" t="n"/>
    </row>
    <row r="99">
      <c r="A99" s="26" t="n"/>
      <c r="B99" s="22" t="n"/>
      <c r="C99" s="22" t="n"/>
      <c r="D99" s="22" t="n"/>
      <c r="E99" s="22" t="n"/>
      <c r="F99" s="22" t="n"/>
      <c r="G99" s="22" t="n"/>
      <c r="H99" s="22" t="n"/>
      <c r="I99" s="22" t="n"/>
    </row>
    <row r="100">
      <c r="A100" s="26" t="n"/>
      <c r="B100" s="22" t="n"/>
      <c r="C100" s="22" t="n"/>
      <c r="D100" s="22" t="n"/>
      <c r="E100" s="22" t="n"/>
      <c r="F100" s="22" t="n"/>
      <c r="G100" s="22" t="n"/>
      <c r="H100" s="22" t="n"/>
      <c r="I100" s="22" t="n"/>
    </row>
    <row r="101">
      <c r="A101" s="26" t="n"/>
      <c r="B101" s="22" t="n"/>
      <c r="C101" s="22" t="n"/>
      <c r="D101" s="22" t="n"/>
      <c r="E101" s="22" t="n"/>
      <c r="F101" s="22" t="n"/>
      <c r="G101" s="22" t="n"/>
      <c r="H101" s="22" t="n"/>
      <c r="I101" s="22" t="n"/>
    </row>
    <row r="102">
      <c r="A102" s="26" t="n"/>
      <c r="B102" s="22" t="n"/>
      <c r="C102" s="22" t="n"/>
      <c r="D102" s="22" t="n"/>
      <c r="E102" s="22" t="n"/>
      <c r="F102" s="22" t="n"/>
      <c r="G102" s="22" t="n"/>
      <c r="H102" s="22" t="n"/>
      <c r="I102" s="22" t="n"/>
    </row>
    <row r="103">
      <c r="A103" s="26" t="n"/>
      <c r="B103" s="22" t="n"/>
      <c r="C103" s="22" t="n"/>
      <c r="D103" s="22" t="n"/>
      <c r="E103" s="22" t="n"/>
      <c r="F103" s="22" t="n"/>
      <c r="G103" s="22" t="n"/>
      <c r="H103" s="22" t="n"/>
      <c r="I103" s="22" t="n"/>
    </row>
    <row r="104">
      <c r="A104" s="26" t="n"/>
      <c r="B104" s="22" t="n"/>
      <c r="C104" s="22" t="n"/>
      <c r="D104" s="22" t="n"/>
      <c r="E104" s="22" t="n"/>
      <c r="F104" s="22" t="n"/>
      <c r="G104" s="22" t="n"/>
      <c r="H104" s="22" t="n"/>
      <c r="I104" s="22" t="n"/>
    </row>
    <row r="105">
      <c r="A105" s="26" t="n"/>
      <c r="B105" s="22" t="n"/>
      <c r="C105" s="22" t="n"/>
      <c r="D105" s="22" t="n"/>
      <c r="E105" s="22" t="n"/>
      <c r="F105" s="22" t="n"/>
      <c r="G105" s="22" t="n"/>
      <c r="H105" s="22" t="n"/>
      <c r="I105" s="22" t="n"/>
    </row>
    <row r="106">
      <c r="A106" s="26" t="n"/>
      <c r="B106" s="22" t="n"/>
      <c r="C106" s="22" t="n"/>
      <c r="D106" s="22" t="n"/>
      <c r="E106" s="22" t="n"/>
      <c r="F106" s="22" t="n"/>
      <c r="G106" s="22" t="n"/>
      <c r="H106" s="22" t="n"/>
      <c r="I106" s="22" t="n"/>
    </row>
    <row r="107">
      <c r="A107" s="26" t="n"/>
      <c r="B107" s="22" t="n"/>
      <c r="C107" s="22" t="n"/>
      <c r="D107" s="22" t="n"/>
      <c r="E107" s="22" t="n"/>
      <c r="F107" s="22" t="n"/>
      <c r="G107" s="22" t="n"/>
      <c r="H107" s="22" t="n"/>
      <c r="I107" s="22" t="n"/>
    </row>
    <row r="108">
      <c r="A108" s="26" t="n"/>
      <c r="B108" s="22" t="n"/>
      <c r="C108" s="22" t="n"/>
      <c r="D108" s="22" t="n"/>
      <c r="E108" s="22" t="n"/>
      <c r="F108" s="22" t="n"/>
      <c r="G108" s="22" t="n"/>
      <c r="H108" s="22" t="n"/>
      <c r="I108" s="22" t="n"/>
    </row>
    <row r="109">
      <c r="A109" s="26" t="n"/>
      <c r="B109" s="22" t="n"/>
      <c r="C109" s="22" t="n"/>
      <c r="D109" s="22" t="n"/>
      <c r="E109" s="22" t="n"/>
      <c r="F109" s="22" t="n"/>
      <c r="G109" s="22" t="n"/>
      <c r="H109" s="22" t="n"/>
      <c r="I109" s="22" t="n"/>
    </row>
    <row r="110">
      <c r="A110" s="26" t="n"/>
      <c r="B110" s="22" t="n"/>
      <c r="C110" s="22" t="n"/>
      <c r="D110" s="22" t="n"/>
      <c r="E110" s="22" t="n"/>
      <c r="F110" s="22" t="n"/>
      <c r="G110" s="22" t="n"/>
      <c r="H110" s="22" t="n"/>
      <c r="I110" s="22" t="n"/>
    </row>
    <row r="111">
      <c r="A111" s="26" t="n"/>
      <c r="B111" s="22" t="n"/>
      <c r="C111" s="22" t="n"/>
      <c r="D111" s="22" t="n"/>
      <c r="E111" s="22" t="n"/>
      <c r="F111" s="22" t="n"/>
      <c r="G111" s="22" t="n"/>
      <c r="H111" s="22" t="n"/>
      <c r="I111" s="22" t="n"/>
    </row>
    <row r="112">
      <c r="A112" s="26" t="n"/>
      <c r="B112" s="22" t="n"/>
      <c r="C112" s="22" t="n"/>
      <c r="D112" s="22" t="n"/>
      <c r="E112" s="22" t="n"/>
      <c r="F112" s="22" t="n"/>
      <c r="G112" s="22" t="n"/>
      <c r="H112" s="22" t="n"/>
      <c r="I112" s="22" t="n"/>
    </row>
    <row r="113">
      <c r="A113" s="26" t="n"/>
      <c r="B113" s="22" t="n"/>
      <c r="C113" s="22" t="n"/>
      <c r="D113" s="22" t="n"/>
      <c r="E113" s="22" t="n"/>
      <c r="F113" s="22" t="n"/>
      <c r="G113" s="22" t="n"/>
      <c r="H113" s="22" t="n"/>
      <c r="I113" s="22" t="n"/>
    </row>
    <row r="114">
      <c r="A114" s="26" t="n"/>
      <c r="B114" s="22" t="n"/>
      <c r="C114" s="22" t="n"/>
      <c r="D114" s="22" t="n"/>
      <c r="E114" s="22" t="n"/>
      <c r="F114" s="22" t="n"/>
      <c r="G114" s="22" t="n"/>
      <c r="H114" s="22" t="n"/>
      <c r="I114" s="22" t="n"/>
    </row>
    <row r="115">
      <c r="A115" s="26" t="n"/>
      <c r="B115" s="22" t="n"/>
      <c r="C115" s="22" t="n"/>
      <c r="D115" s="22" t="n"/>
      <c r="E115" s="22" t="n"/>
      <c r="F115" s="22" t="n"/>
      <c r="G115" s="22" t="n"/>
      <c r="H115" s="22" t="n"/>
      <c r="I115" s="22" t="n"/>
    </row>
    <row r="116">
      <c r="A116" s="26" t="n"/>
      <c r="B116" s="22" t="n"/>
      <c r="C116" s="22" t="n"/>
      <c r="D116" s="22" t="n"/>
      <c r="E116" s="22" t="n"/>
      <c r="F116" s="22" t="n"/>
      <c r="G116" s="22" t="n"/>
      <c r="H116" s="22" t="n"/>
      <c r="I116" s="22" t="n"/>
    </row>
    <row r="117">
      <c r="A117" s="26" t="n"/>
      <c r="B117" s="22" t="n"/>
      <c r="C117" s="22" t="n"/>
      <c r="D117" s="22" t="n"/>
      <c r="E117" s="22" t="n"/>
      <c r="F117" s="22" t="n"/>
      <c r="G117" s="22" t="n"/>
      <c r="H117" s="22" t="n"/>
      <c r="I117" s="22" t="n"/>
    </row>
    <row r="118">
      <c r="A118" s="26" t="n"/>
      <c r="B118" s="22" t="n"/>
      <c r="C118" s="22" t="n"/>
      <c r="D118" s="22" t="n"/>
      <c r="E118" s="22" t="n"/>
      <c r="F118" s="22" t="n"/>
      <c r="G118" s="22" t="n"/>
      <c r="H118" s="22" t="n"/>
      <c r="I118" s="22" t="n"/>
    </row>
    <row r="119">
      <c r="A119" s="26" t="n"/>
      <c r="B119" s="22" t="n"/>
      <c r="C119" s="22" t="n"/>
      <c r="D119" s="22" t="n"/>
      <c r="E119" s="22" t="n"/>
      <c r="F119" s="22" t="n"/>
      <c r="G119" s="22" t="n"/>
      <c r="H119" s="22" t="n"/>
      <c r="I119" s="22" t="n"/>
    </row>
    <row r="120">
      <c r="A120" s="26" t="n"/>
      <c r="B120" s="22" t="n"/>
      <c r="C120" s="22" t="n"/>
      <c r="D120" s="22" t="n"/>
      <c r="E120" s="22" t="n"/>
      <c r="F120" s="22" t="n"/>
      <c r="G120" s="22" t="n"/>
      <c r="H120" s="22" t="n"/>
      <c r="I120" s="22" t="n"/>
    </row>
    <row r="121">
      <c r="A121" s="26" t="n"/>
      <c r="B121" s="22" t="n"/>
      <c r="C121" s="22" t="n"/>
      <c r="D121" s="22" t="n"/>
      <c r="E121" s="22" t="n"/>
      <c r="F121" s="22" t="n"/>
      <c r="G121" s="22" t="n"/>
      <c r="H121" s="22" t="n"/>
      <c r="I121" s="22" t="n"/>
    </row>
    <row r="122">
      <c r="A122" s="26" t="n"/>
      <c r="B122" s="22" t="n"/>
      <c r="C122" s="22" t="n"/>
      <c r="D122" s="22" t="n"/>
      <c r="E122" s="22" t="n"/>
      <c r="F122" s="22" t="n"/>
      <c r="G122" s="22" t="n"/>
      <c r="H122" s="22" t="n"/>
      <c r="I122" s="22" t="n"/>
    </row>
    <row r="123">
      <c r="A123" s="26" t="n"/>
      <c r="B123" s="22" t="n"/>
      <c r="C123" s="22" t="n"/>
      <c r="D123" s="22" t="n"/>
      <c r="E123" s="22" t="n"/>
      <c r="F123" s="22" t="n"/>
      <c r="G123" s="22" t="n"/>
      <c r="H123" s="22" t="n"/>
      <c r="I123" s="22" t="n"/>
    </row>
    <row r="124">
      <c r="A124" s="26" t="n"/>
      <c r="B124" s="22" t="n"/>
      <c r="C124" s="22" t="n"/>
      <c r="D124" s="22" t="n"/>
      <c r="E124" s="22" t="n"/>
      <c r="F124" s="22" t="n"/>
      <c r="G124" s="22" t="n"/>
      <c r="H124" s="22" t="n"/>
      <c r="I124" s="22" t="n"/>
    </row>
    <row r="125">
      <c r="A125" s="26" t="n"/>
      <c r="B125" s="22" t="n"/>
      <c r="C125" s="22" t="n"/>
      <c r="D125" s="22" t="n"/>
      <c r="E125" s="22" t="n"/>
      <c r="F125" s="22" t="n"/>
      <c r="G125" s="22" t="n"/>
      <c r="H125" s="22" t="n"/>
      <c r="I125" s="22" t="n"/>
    </row>
    <row r="126">
      <c r="A126" s="26" t="n"/>
      <c r="B126" s="22" t="n"/>
      <c r="C126" s="22" t="n"/>
      <c r="D126" s="22" t="n"/>
      <c r="E126" s="22" t="n"/>
      <c r="F126" s="22" t="n"/>
      <c r="G126" s="22" t="n"/>
      <c r="H126" s="22" t="n"/>
      <c r="I126" s="22" t="n"/>
    </row>
    <row r="127">
      <c r="A127" s="26" t="n"/>
      <c r="B127" s="22" t="n"/>
      <c r="C127" s="22" t="n"/>
      <c r="D127" s="22" t="n"/>
      <c r="E127" s="22" t="n"/>
      <c r="F127" s="22" t="n"/>
      <c r="G127" s="22" t="n"/>
      <c r="H127" s="22" t="n"/>
      <c r="I127" s="22" t="n"/>
    </row>
    <row r="128">
      <c r="A128" s="26" t="n"/>
      <c r="B128" s="22" t="n"/>
      <c r="C128" s="22" t="n"/>
      <c r="D128" s="22" t="n"/>
      <c r="E128" s="22" t="n"/>
      <c r="F128" s="22" t="n"/>
      <c r="G128" s="22" t="n"/>
      <c r="H128" s="22" t="n"/>
      <c r="I128" s="22" t="n"/>
    </row>
    <row r="129">
      <c r="A129" s="26" t="n"/>
      <c r="B129" s="22" t="n"/>
      <c r="C129" s="22" t="n"/>
      <c r="D129" s="22" t="n"/>
      <c r="E129" s="22" t="n"/>
      <c r="F129" s="22" t="n"/>
      <c r="G129" s="22" t="n"/>
      <c r="H129" s="22" t="n"/>
      <c r="I129" s="22" t="n"/>
    </row>
    <row r="130">
      <c r="A130" s="26" t="n"/>
      <c r="B130" s="22" t="n"/>
      <c r="C130" s="22" t="n"/>
      <c r="D130" s="22" t="n"/>
      <c r="E130" s="22" t="n"/>
      <c r="F130" s="22" t="n"/>
      <c r="G130" s="22" t="n"/>
      <c r="H130" s="22" t="n"/>
      <c r="I130" s="22" t="n"/>
    </row>
    <row r="131">
      <c r="A131" s="26" t="n"/>
      <c r="B131" s="22" t="n"/>
      <c r="C131" s="22" t="n"/>
      <c r="D131" s="22" t="n"/>
      <c r="E131" s="22" t="n"/>
      <c r="F131" s="22" t="n"/>
      <c r="G131" s="22" t="n"/>
      <c r="H131" s="22" t="n"/>
      <c r="I131" s="22" t="n"/>
    </row>
    <row r="132">
      <c r="A132" s="26" t="n"/>
      <c r="B132" s="22" t="n"/>
      <c r="C132" s="22" t="n"/>
      <c r="D132" s="22" t="n"/>
      <c r="E132" s="22" t="n"/>
      <c r="F132" s="22" t="n"/>
      <c r="G132" s="22" t="n"/>
      <c r="H132" s="22" t="n"/>
      <c r="I132" s="22" t="n"/>
    </row>
    <row r="133">
      <c r="A133" s="26" t="n"/>
      <c r="B133" s="22" t="n"/>
      <c r="C133" s="22" t="n"/>
      <c r="D133" s="22" t="n"/>
      <c r="E133" s="22" t="n"/>
      <c r="F133" s="22" t="n"/>
      <c r="G133" s="22" t="n"/>
      <c r="H133" s="22" t="n"/>
      <c r="I133" s="22" t="n"/>
    </row>
    <row r="134">
      <c r="A134" s="26" t="n"/>
      <c r="B134" s="22" t="n"/>
      <c r="C134" s="22" t="n"/>
      <c r="D134" s="22" t="n"/>
      <c r="E134" s="22" t="n"/>
      <c r="F134" s="22" t="n"/>
      <c r="G134" s="22" t="n"/>
      <c r="H134" s="22" t="n"/>
      <c r="I134" s="22" t="n"/>
    </row>
    <row r="135">
      <c r="A135" s="26" t="n"/>
      <c r="B135" s="22" t="n"/>
      <c r="C135" s="22" t="n"/>
      <c r="D135" s="22" t="n"/>
      <c r="E135" s="22" t="n"/>
      <c r="F135" s="22" t="n"/>
      <c r="G135" s="22" t="n"/>
      <c r="H135" s="22" t="n"/>
      <c r="I135" s="22" t="n"/>
    </row>
    <row r="136">
      <c r="A136" s="26" t="n"/>
      <c r="B136" s="22" t="n"/>
      <c r="C136" s="22" t="n"/>
      <c r="D136" s="22" t="n"/>
      <c r="E136" s="22" t="n"/>
      <c r="F136" s="22" t="n"/>
      <c r="G136" s="22" t="n"/>
      <c r="H136" s="22" t="n"/>
      <c r="I136" s="22" t="n"/>
    </row>
    <row r="137">
      <c r="A137" s="26" t="n"/>
      <c r="B137" s="22" t="n"/>
      <c r="C137" s="22" t="n"/>
      <c r="D137" s="22" t="n"/>
      <c r="E137" s="22" t="n"/>
      <c r="F137" s="22" t="n"/>
      <c r="G137" s="22" t="n"/>
      <c r="H137" s="22" t="n"/>
      <c r="I137" s="22" t="n"/>
    </row>
    <row r="138">
      <c r="A138" s="26" t="n"/>
      <c r="B138" s="22" t="n"/>
      <c r="C138" s="22" t="n"/>
      <c r="D138" s="22" t="n"/>
      <c r="E138" s="22" t="n"/>
      <c r="F138" s="22" t="n"/>
      <c r="G138" s="22" t="n"/>
      <c r="H138" s="22" t="n"/>
      <c r="I138" s="22" t="n"/>
    </row>
    <row r="139">
      <c r="A139" s="26" t="n"/>
      <c r="B139" s="22" t="n"/>
      <c r="C139" s="22" t="n"/>
      <c r="D139" s="22" t="n"/>
      <c r="E139" s="22" t="n"/>
      <c r="F139" s="22" t="n"/>
      <c r="G139" s="22" t="n"/>
      <c r="H139" s="22" t="n"/>
      <c r="I139" s="22" t="n"/>
    </row>
    <row r="140">
      <c r="A140" s="26" t="n"/>
      <c r="B140" s="22" t="n"/>
      <c r="C140" s="22" t="n"/>
      <c r="D140" s="22" t="n"/>
      <c r="E140" s="22" t="n"/>
      <c r="F140" s="22" t="n"/>
      <c r="G140" s="22" t="n"/>
      <c r="H140" s="22" t="n"/>
      <c r="I140" s="22" t="n"/>
    </row>
    <row r="141">
      <c r="A141" s="26" t="n"/>
      <c r="B141" s="22" t="n"/>
      <c r="C141" s="22" t="n"/>
      <c r="D141" s="22" t="n"/>
      <c r="E141" s="22" t="n"/>
      <c r="F141" s="22" t="n"/>
      <c r="G141" s="22" t="n"/>
      <c r="H141" s="22" t="n"/>
      <c r="I141" s="22" t="n"/>
    </row>
    <row r="142">
      <c r="A142" s="26" t="n"/>
      <c r="B142" s="22" t="n"/>
      <c r="C142" s="22" t="n"/>
      <c r="D142" s="22" t="n"/>
      <c r="E142" s="22" t="n"/>
      <c r="F142" s="22" t="n"/>
      <c r="G142" s="22" t="n"/>
      <c r="H142" s="22" t="n"/>
      <c r="I142" s="22" t="n"/>
    </row>
    <row r="143">
      <c r="A143" s="26" t="n"/>
      <c r="B143" s="22" t="n"/>
      <c r="C143" s="22" t="n"/>
      <c r="D143" s="22" t="n"/>
      <c r="E143" s="22" t="n"/>
      <c r="F143" s="22" t="n"/>
      <c r="G143" s="22" t="n"/>
      <c r="H143" s="22" t="n"/>
      <c r="I143" s="22" t="n"/>
    </row>
    <row r="144">
      <c r="A144" s="26" t="n"/>
      <c r="B144" s="22" t="n"/>
      <c r="C144" s="22" t="n"/>
      <c r="D144" s="22" t="n"/>
      <c r="E144" s="22" t="n"/>
      <c r="F144" s="22" t="n"/>
      <c r="G144" s="22" t="n"/>
      <c r="H144" s="22" t="n"/>
      <c r="I144" s="22" t="n"/>
    </row>
    <row r="145">
      <c r="A145" s="26" t="n"/>
      <c r="B145" s="22" t="n"/>
      <c r="C145" s="22" t="n"/>
      <c r="D145" s="22" t="n"/>
      <c r="E145" s="22" t="n"/>
      <c r="F145" s="22" t="n"/>
      <c r="G145" s="22" t="n"/>
      <c r="H145" s="22" t="n"/>
      <c r="I145" s="22" t="n"/>
    </row>
    <row r="146">
      <c r="A146" s="26" t="n"/>
      <c r="B146" s="22" t="n"/>
      <c r="C146" s="22" t="n"/>
      <c r="D146" s="22" t="n"/>
      <c r="E146" s="22" t="n"/>
      <c r="F146" s="22" t="n"/>
      <c r="G146" s="22" t="n"/>
      <c r="H146" s="22" t="n"/>
      <c r="I146" s="22" t="n"/>
    </row>
    <row r="147">
      <c r="A147" s="26" t="n"/>
      <c r="B147" s="22" t="n"/>
      <c r="C147" s="22" t="n"/>
      <c r="D147" s="22" t="n"/>
      <c r="E147" s="22" t="n"/>
      <c r="F147" s="22" t="n"/>
      <c r="G147" s="22" t="n"/>
      <c r="H147" s="22" t="n"/>
      <c r="I147" s="22" t="n"/>
    </row>
    <row r="148">
      <c r="A148" s="26" t="n"/>
      <c r="B148" s="22" t="n"/>
      <c r="C148" s="22" t="n"/>
      <c r="D148" s="22" t="n"/>
      <c r="E148" s="22" t="n"/>
      <c r="F148" s="22" t="n"/>
      <c r="G148" s="22" t="n"/>
      <c r="H148" s="22" t="n"/>
      <c r="I148" s="22" t="n"/>
    </row>
    <row r="149">
      <c r="A149" s="26" t="n"/>
      <c r="B149" s="22" t="n"/>
      <c r="C149" s="22" t="n"/>
      <c r="D149" s="22" t="n"/>
      <c r="E149" s="22" t="n"/>
      <c r="F149" s="22" t="n"/>
      <c r="G149" s="22" t="n"/>
      <c r="H149" s="22" t="n"/>
      <c r="I149" s="22" t="n"/>
    </row>
    <row r="150">
      <c r="A150" s="26" t="n"/>
      <c r="B150" s="22" t="n"/>
      <c r="C150" s="22" t="n"/>
      <c r="D150" s="22" t="n"/>
      <c r="E150" s="22" t="n"/>
      <c r="F150" s="22" t="n"/>
      <c r="G150" s="22" t="n"/>
      <c r="H150" s="22" t="n"/>
      <c r="I150" s="22" t="n"/>
    </row>
    <row r="151">
      <c r="A151" s="26" t="n"/>
      <c r="B151" s="22" t="n"/>
      <c r="C151" s="22" t="n"/>
      <c r="D151" s="22" t="n"/>
      <c r="E151" s="22" t="n"/>
      <c r="F151" s="22" t="n"/>
      <c r="G151" s="22" t="n"/>
      <c r="H151" s="22" t="n"/>
      <c r="I151" s="22" t="n"/>
    </row>
    <row r="152">
      <c r="A152" s="26" t="n"/>
      <c r="B152" s="22" t="n"/>
      <c r="C152" s="22" t="n"/>
      <c r="D152" s="22" t="n"/>
      <c r="E152" s="22" t="n"/>
      <c r="F152" s="22" t="n"/>
      <c r="G152" s="22" t="n"/>
      <c r="H152" s="22" t="n"/>
      <c r="I152" s="22" t="n"/>
    </row>
    <row r="153">
      <c r="A153" s="26" t="n"/>
      <c r="B153" s="22" t="n"/>
      <c r="C153" s="22" t="n"/>
      <c r="D153" s="22" t="n"/>
      <c r="E153" s="22" t="n"/>
      <c r="F153" s="22" t="n"/>
      <c r="G153" s="22" t="n"/>
      <c r="H153" s="22" t="n"/>
      <c r="I153" s="22" t="n"/>
    </row>
    <row r="154">
      <c r="A154" s="26" t="n"/>
      <c r="B154" s="22" t="n"/>
      <c r="C154" s="22" t="n"/>
      <c r="D154" s="22" t="n"/>
      <c r="E154" s="22" t="n"/>
      <c r="F154" s="22" t="n"/>
      <c r="G154" s="22" t="n"/>
      <c r="H154" s="22" t="n"/>
      <c r="I154" s="22" t="n"/>
    </row>
    <row r="155">
      <c r="A155" s="26" t="n"/>
      <c r="B155" s="22" t="n"/>
      <c r="C155" s="22" t="n"/>
      <c r="D155" s="22" t="n"/>
      <c r="E155" s="22" t="n"/>
      <c r="F155" s="22" t="n"/>
      <c r="G155" s="22" t="n"/>
      <c r="H155" s="22" t="n"/>
      <c r="I155" s="22" t="n"/>
    </row>
  </sheetData>
  <dataValidations count="4">
    <dataValidation sqref="B6:B155" showDropDown="0" showInputMessage="0" showErrorMessage="0" allowBlank="1" errorTitle="Salón" error="Escribe el salón tal como está en la hoja Perfil." type="list">
      <formula1>Perfil!$A$6:$A$17</formula1>
    </dataValidation>
    <dataValidation sqref="C6:C155" showDropDown="0" showInputMessage="0" showErrorMessage="0" allowBlank="1" errorTitle="Elige de la lista" error="Usa una de las opciones de la lista." type="list">
      <formula1>"Dueña,Administración,Recepción,Especialista"</formula1>
    </dataValidation>
    <dataValidation sqref="G6:G155" showDropDown="0" showInputMessage="0" showErrorMessage="0" allowBlank="1" errorTitle="Elige de la lista" error="Usa una de las opciones de la lista." type="list">
      <formula1>"Chats,Agenda,Pantalla de Lalan,Informes,Caja,Inventario,Sala,Lounge"</formula1>
    </dataValidation>
    <dataValidation sqref="D6:F155" showDropDown="0" showInputMessage="0" showErrorMessage="0" allowBlank="1" errorTitle="Puntaje" error="Pon un número entero del 1 al 5.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2" customWidth="1" min="4" max="4"/>
    <col width="12" customWidth="1" min="5" max="5"/>
    <col width="13" customWidth="1" min="6" max="6"/>
    <col width="12" customWidth="1" min="7" max="7"/>
    <col width="16" customWidth="1" min="8" max="8"/>
    <col width="16" customWidth="1" min="9" max="9"/>
    <col width="36" customWidth="1" min="10" max="10"/>
    <col width="50" customWidth="1" min="11" max="11"/>
    <col width="14" customWidth="1" min="12" max="12"/>
  </cols>
  <sheetData>
    <row r="1" ht="30" customHeight="1">
      <c r="A1" s="1" t="inlineStr">
        <is>
          <t>Entrevista de cierre</t>
        </is>
      </c>
    </row>
    <row r="2">
      <c r="A2" s="2" t="inlineStr">
        <is>
          <t>Al terminar el piloto, con cada dueña.</t>
        </is>
      </c>
    </row>
    <row r="4" ht="48" customHeight="1">
      <c r="A4" s="18" t="inlineStr">
        <is>
          <t>Fecha</t>
        </is>
      </c>
      <c r="B4" s="18" t="inlineStr">
        <is>
          <t>Salón</t>
        </is>
      </c>
      <c r="C4" s="18" t="inlineStr">
        <is>
          <t>¿Qué tan probable es que recomiende Lalan? (0-10)</t>
        </is>
      </c>
      <c r="D4" s="19" t="inlineStr">
        <is>
          <t>Tipo</t>
        </is>
      </c>
      <c r="E4" s="18" t="inlineStr">
        <is>
          <t>¿Seguiría con Lalan?</t>
        </is>
      </c>
      <c r="F4" s="18" t="inlineStr">
        <is>
          <t>Cuánto pagaría al mes (RD$)</t>
        </is>
      </c>
      <c r="G4" s="18" t="inlineStr">
        <is>
          <t>Plan que elegiría</t>
        </is>
      </c>
      <c r="H4" s="18" t="inlineStr">
        <is>
          <t>Módulo más valioso</t>
        </is>
      </c>
      <c r="I4" s="18" t="inlineStr">
        <is>
          <t>Módulo que no usó</t>
        </is>
      </c>
      <c r="J4" s="18" t="inlineStr">
        <is>
          <t>Lo que le faltó</t>
        </is>
      </c>
      <c r="K4" s="18" t="inlineStr">
        <is>
          <t>Testimonio (sus palabras)</t>
        </is>
      </c>
      <c r="L4" s="18" t="inlineStr">
        <is>
          <t>¿Permite usar su nombre y testimonio?</t>
        </is>
      </c>
    </row>
    <row r="5">
      <c r="A5" s="25" t="n">
        <v>46376</v>
      </c>
      <c r="B5" s="20" t="inlineStr">
        <is>
          <t>Salón Ejemplo</t>
        </is>
      </c>
      <c r="C5" s="20" t="n">
        <v>9</v>
      </c>
      <c r="D5" s="20">
        <f>IF(C5="","",IF(C5&gt;=9,"Promotora",IF(C5&gt;=7,"Pasiva","Detractora")))</f>
        <v/>
      </c>
      <c r="E5" s="20" t="inlineStr">
        <is>
          <t>Sí</t>
        </is>
      </c>
      <c r="F5" s="28" t="n">
        <v>1200</v>
      </c>
      <c r="G5" s="20" t="inlineStr">
        <is>
          <t>Salón</t>
        </is>
      </c>
      <c r="H5" s="20" t="inlineStr">
        <is>
          <t>Chats</t>
        </is>
      </c>
      <c r="I5" s="20" t="inlineStr">
        <is>
          <t>Inventario</t>
        </is>
      </c>
      <c r="J5" s="20" t="inlineStr">
        <is>
          <t>Recordatorios por voz</t>
        </is>
      </c>
      <c r="K5" s="20" t="inlineStr">
        <is>
          <t>Ya no contesto WhatsApp de noche: Lalan agenda sola.</t>
        </is>
      </c>
      <c r="L5" s="20" t="inlineStr">
        <is>
          <t>Sí</t>
        </is>
      </c>
    </row>
    <row r="6">
      <c r="A6" s="26" t="n"/>
      <c r="B6" s="22" t="n"/>
      <c r="C6" s="22" t="n"/>
      <c r="D6" s="23">
        <f>IF(C6="","",IF(C6&gt;=9,"Promotora",IF(C6&gt;=7,"Pasiva","Detractora")))</f>
        <v/>
      </c>
      <c r="E6" s="22" t="n"/>
      <c r="F6" s="33" t="n"/>
      <c r="G6" s="22" t="n"/>
      <c r="H6" s="22" t="n"/>
      <c r="I6" s="22" t="n"/>
      <c r="J6" s="22" t="n"/>
      <c r="K6" s="22" t="n"/>
      <c r="L6" s="22" t="n"/>
    </row>
    <row r="7">
      <c r="A7" s="26" t="n"/>
      <c r="B7" s="22" t="n"/>
      <c r="C7" s="22" t="n"/>
      <c r="D7" s="23">
        <f>IF(C7="","",IF(C7&gt;=9,"Promotora",IF(C7&gt;=7,"Pasiva","Detractora")))</f>
        <v/>
      </c>
      <c r="E7" s="22" t="n"/>
      <c r="F7" s="33" t="n"/>
      <c r="G7" s="22" t="n"/>
      <c r="H7" s="22" t="n"/>
      <c r="I7" s="22" t="n"/>
      <c r="J7" s="22" t="n"/>
      <c r="K7" s="22" t="n"/>
      <c r="L7" s="22" t="n"/>
    </row>
    <row r="8">
      <c r="A8" s="26" t="n"/>
      <c r="B8" s="22" t="n"/>
      <c r="C8" s="22" t="n"/>
      <c r="D8" s="23">
        <f>IF(C8="","",IF(C8&gt;=9,"Promotora",IF(C8&gt;=7,"Pasiva","Detractora")))</f>
        <v/>
      </c>
      <c r="E8" s="22" t="n"/>
      <c r="F8" s="33" t="n"/>
      <c r="G8" s="22" t="n"/>
      <c r="H8" s="22" t="n"/>
      <c r="I8" s="22" t="n"/>
      <c r="J8" s="22" t="n"/>
      <c r="K8" s="22" t="n"/>
      <c r="L8" s="22" t="n"/>
    </row>
    <row r="9">
      <c r="A9" s="26" t="n"/>
      <c r="B9" s="22" t="n"/>
      <c r="C9" s="22" t="n"/>
      <c r="D9" s="23">
        <f>IF(C9="","",IF(C9&gt;=9,"Promotora",IF(C9&gt;=7,"Pasiva","Detractora")))</f>
        <v/>
      </c>
      <c r="E9" s="22" t="n"/>
      <c r="F9" s="33" t="n"/>
      <c r="G9" s="22" t="n"/>
      <c r="H9" s="22" t="n"/>
      <c r="I9" s="22" t="n"/>
      <c r="J9" s="22" t="n"/>
      <c r="K9" s="22" t="n"/>
      <c r="L9" s="22" t="n"/>
    </row>
    <row r="10">
      <c r="A10" s="26" t="n"/>
      <c r="B10" s="22" t="n"/>
      <c r="C10" s="22" t="n"/>
      <c r="D10" s="23">
        <f>IF(C10="","",IF(C10&gt;=9,"Promotora",IF(C10&gt;=7,"Pasiva","Detractora")))</f>
        <v/>
      </c>
      <c r="E10" s="22" t="n"/>
      <c r="F10" s="33" t="n"/>
      <c r="G10" s="22" t="n"/>
      <c r="H10" s="22" t="n"/>
      <c r="I10" s="22" t="n"/>
      <c r="J10" s="22" t="n"/>
      <c r="K10" s="22" t="n"/>
      <c r="L10" s="22" t="n"/>
    </row>
    <row r="11">
      <c r="A11" s="26" t="n"/>
      <c r="B11" s="22" t="n"/>
      <c r="C11" s="22" t="n"/>
      <c r="D11" s="23">
        <f>IF(C11="","",IF(C11&gt;=9,"Promotora",IF(C11&gt;=7,"Pasiva","Detractora")))</f>
        <v/>
      </c>
      <c r="E11" s="22" t="n"/>
      <c r="F11" s="33" t="n"/>
      <c r="G11" s="22" t="n"/>
      <c r="H11" s="22" t="n"/>
      <c r="I11" s="22" t="n"/>
      <c r="J11" s="22" t="n"/>
      <c r="K11" s="22" t="n"/>
      <c r="L11" s="22" t="n"/>
    </row>
    <row r="12">
      <c r="A12" s="26" t="n"/>
      <c r="B12" s="22" t="n"/>
      <c r="C12" s="22" t="n"/>
      <c r="D12" s="23">
        <f>IF(C12="","",IF(C12&gt;=9,"Promotora",IF(C12&gt;=7,"Pasiva","Detractora")))</f>
        <v/>
      </c>
      <c r="E12" s="22" t="n"/>
      <c r="F12" s="33" t="n"/>
      <c r="G12" s="22" t="n"/>
      <c r="H12" s="22" t="n"/>
      <c r="I12" s="22" t="n"/>
      <c r="J12" s="22" t="n"/>
      <c r="K12" s="22" t="n"/>
      <c r="L12" s="22" t="n"/>
    </row>
    <row r="13">
      <c r="A13" s="26" t="n"/>
      <c r="B13" s="22" t="n"/>
      <c r="C13" s="22" t="n"/>
      <c r="D13" s="23">
        <f>IF(C13="","",IF(C13&gt;=9,"Promotora",IF(C13&gt;=7,"Pasiva","Detractora")))</f>
        <v/>
      </c>
      <c r="E13" s="22" t="n"/>
      <c r="F13" s="33" t="n"/>
      <c r="G13" s="22" t="n"/>
      <c r="H13" s="22" t="n"/>
      <c r="I13" s="22" t="n"/>
      <c r="J13" s="22" t="n"/>
      <c r="K13" s="22" t="n"/>
      <c r="L13" s="22" t="n"/>
    </row>
    <row r="14">
      <c r="A14" s="26" t="n"/>
      <c r="B14" s="22" t="n"/>
      <c r="C14" s="22" t="n"/>
      <c r="D14" s="23">
        <f>IF(C14="","",IF(C14&gt;=9,"Promotora",IF(C14&gt;=7,"Pasiva","Detractora")))</f>
        <v/>
      </c>
      <c r="E14" s="22" t="n"/>
      <c r="F14" s="33" t="n"/>
      <c r="G14" s="22" t="n"/>
      <c r="H14" s="22" t="n"/>
      <c r="I14" s="22" t="n"/>
      <c r="J14" s="22" t="n"/>
      <c r="K14" s="22" t="n"/>
      <c r="L14" s="22" t="n"/>
    </row>
    <row r="15">
      <c r="A15" s="26" t="n"/>
      <c r="B15" s="22" t="n"/>
      <c r="C15" s="22" t="n"/>
      <c r="D15" s="23">
        <f>IF(C15="","",IF(C15&gt;=9,"Promotora",IF(C15&gt;=7,"Pasiva","Detractora")))</f>
        <v/>
      </c>
      <c r="E15" s="22" t="n"/>
      <c r="F15" s="33" t="n"/>
      <c r="G15" s="22" t="n"/>
      <c r="H15" s="22" t="n"/>
      <c r="I15" s="22" t="n"/>
      <c r="J15" s="22" t="n"/>
      <c r="K15" s="22" t="n"/>
      <c r="L15" s="22" t="n"/>
    </row>
    <row r="16">
      <c r="A16" s="26" t="n"/>
      <c r="B16" s="22" t="n"/>
      <c r="C16" s="22" t="n"/>
      <c r="D16" s="23">
        <f>IF(C16="","",IF(C16&gt;=9,"Promotora",IF(C16&gt;=7,"Pasiva","Detractora")))</f>
        <v/>
      </c>
      <c r="E16" s="22" t="n"/>
      <c r="F16" s="33" t="n"/>
      <c r="G16" s="22" t="n"/>
      <c r="H16" s="22" t="n"/>
      <c r="I16" s="22" t="n"/>
      <c r="J16" s="22" t="n"/>
      <c r="K16" s="22" t="n"/>
      <c r="L16" s="22" t="n"/>
    </row>
    <row r="17">
      <c r="A17" s="26" t="n"/>
      <c r="B17" s="22" t="n"/>
      <c r="C17" s="22" t="n"/>
      <c r="D17" s="23">
        <f>IF(C17="","",IF(C17&gt;=9,"Promotora",IF(C17&gt;=7,"Pasiva","Detractora")))</f>
        <v/>
      </c>
      <c r="E17" s="22" t="n"/>
      <c r="F17" s="33" t="n"/>
      <c r="G17" s="22" t="n"/>
      <c r="H17" s="22" t="n"/>
      <c r="I17" s="22" t="n"/>
      <c r="J17" s="22" t="n"/>
      <c r="K17" s="22" t="n"/>
      <c r="L17" s="22" t="n"/>
    </row>
  </sheetData>
  <dataValidations count="6">
    <dataValidation sqref="B6:B17" showDropDown="0" showInputMessage="0" showErrorMessage="0" allowBlank="1" errorTitle="Salón" error="Escribe el salón tal como está en la hoja Perfil." type="list">
      <formula1>Perfil!$A$6:$A$17</formula1>
    </dataValidation>
    <dataValidation sqref="C6:C17" showDropDown="0" showInputMessage="0" showErrorMessage="0" allowBlank="1" errorTitle="Puntaje" error="Pon un número entero del 0 al 10." type="whole" operator="between">
      <formula1>0</formula1>
      <formula2>10</formula2>
    </dataValidation>
    <dataValidation sqref="E6:E17" showDropDown="0" showInputMessage="0" showErrorMessage="0" allowBlank="1" errorTitle="Elige de la lista" error="Usa una de las opciones de la lista." type="list">
      <formula1>"Sí,Tal vez,No"</formula1>
    </dataValidation>
    <dataValidation sqref="G6:G17" showDropDown="0" showInputMessage="0" showErrorMessage="0" allowBlank="1" errorTitle="Elige de la lista" error="Usa una de las opciones de la lista." type="list">
      <formula1>"Esencial,Salón,Lounge,Ninguno"</formula1>
    </dataValidation>
    <dataValidation sqref="H6:I17" showDropDown="0" showInputMessage="0" showErrorMessage="0" allowBlank="1" errorTitle="Elige de la lista" error="Usa una de las opciones de la lista." type="list">
      <formula1>"Chats,Agenda,Pantalla de Lalan,Informes,Caja,Inventario,Sala,Lounge"</formula1>
    </dataValidation>
    <dataValidation sqref="L6:L17" showDropDown="0" showInputMessage="0" showErrorMessage="0" allowBlank="1" errorTitle="Elige de la lista" error="Usa una de las opciones de la lista.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9" customWidth="1" min="4" max="4"/>
    <col width="9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1" customWidth="1" min="21" max="21"/>
    <col width="10" customWidth="1" min="22" max="22"/>
    <col width="7" customWidth="1" min="23" max="23"/>
    <col width="11" customWidth="1" min="24" max="24"/>
    <col width="26" customWidth="1" min="25" max="25"/>
  </cols>
  <sheetData>
    <row r="1" ht="30" customHeight="1">
      <c r="A1" s="1" t="inlineStr">
        <is>
          <t>Análisis del piloto</t>
        </is>
      </c>
    </row>
    <row r="2">
      <c r="A2" s="2" t="inlineStr">
        <is>
          <t>Lo que dicen las dueñas al lado de lo que muestran los números. Actualiza los datos (Datos → Actualizar todo) antes de mirar.</t>
        </is>
      </c>
    </row>
    <row r="4">
      <c r="A4" s="3" t="inlineStr">
        <is>
          <t>Resumen</t>
        </is>
      </c>
    </row>
    <row r="5">
      <c r="A5" s="2" t="inlineStr">
        <is>
          <t>Salones en el piloto</t>
        </is>
      </c>
      <c r="D5" s="2" t="inlineStr">
        <is>
          <t>Mensajes de clientas</t>
        </is>
      </c>
      <c r="G5" s="2" t="inlineStr">
        <is>
          <t>% que respondió Lalan</t>
        </is>
      </c>
      <c r="J5" s="2" t="inlineStr">
        <is>
          <t>Citas que agendó Lalan</t>
        </is>
      </c>
    </row>
    <row r="6">
      <c r="A6" s="34">
        <f>COUNTIF(Perfil!$Q$6:$Q$17,"Sí")</f>
        <v/>
      </c>
      <c r="D6" s="35">
        <f>SUM('Datos diario'!$E:$E)</f>
        <v/>
      </c>
      <c r="G6" s="36">
        <f>IFERROR(SUM('Datos diario'!$F:$F)/(SUM('Datos diario'!$F:$F)+SUM('Datos diario'!$G:$G)),"")</f>
        <v/>
      </c>
      <c r="J6" s="35">
        <f>SUM('Datos diario'!$P:$P)</f>
        <v/>
      </c>
    </row>
    <row r="7">
      <c r="A7" s="2" t="inlineStr">
        <is>
          <t>NPS del piloto (-100 a 100)</t>
        </is>
      </c>
      <c r="D7" s="2" t="inlineStr">
        <is>
          <t>Pagarían al mes, promedio (RD$)</t>
        </is>
      </c>
      <c r="G7" s="2" t="inlineStr">
        <is>
          <t>Satisfacción de clientas (1-5)</t>
        </is>
      </c>
      <c r="J7" s="2" t="inlineStr">
        <is>
          <t>Respuestas de clientas</t>
        </is>
      </c>
    </row>
    <row r="8">
      <c r="A8" s="34">
        <f>IFERROR(ROUND((COUNTIF(Cierre!$C$6:$C$17,"&gt;=9")-COUNTIF(Cierre!$C$6:$C$17,"&lt;=6"))/COUNT(Cierre!$C$6:$C$17)*100,0),"")</f>
        <v/>
      </c>
      <c r="D8" s="35">
        <f>IFERROR(AVERAGE(Cierre!$F$6:$F$17),"")</f>
        <v/>
      </c>
      <c r="G8" s="37">
        <f>IFERROR(AVERAGE(Clientas!$G$6:$G$405),"")</f>
        <v/>
      </c>
      <c r="J8" s="34">
        <f>COUNT(Clientas!$G$6:$G$405)</f>
        <v/>
      </c>
    </row>
    <row r="10">
      <c r="A10" s="3" t="inlineStr">
        <is>
          <t>Por salón</t>
        </is>
      </c>
    </row>
    <row r="11" ht="48" customHeight="1">
      <c r="A11" s="18" t="inlineStr">
        <is>
          <t>Salón</t>
        </is>
      </c>
      <c r="B11" s="18" t="inlineStr">
        <is>
          <t>ID</t>
        </is>
      </c>
      <c r="C11" s="18" t="inlineStr">
        <is>
          <t>Seleccionado</t>
        </is>
      </c>
      <c r="D11" s="18" t="inlineStr">
        <is>
          <t>Días con datos</t>
        </is>
      </c>
      <c r="E11" s="18" t="inlineStr">
        <is>
          <t>Días usando la app</t>
        </is>
      </c>
      <c r="F11" s="18" t="inlineStr">
        <is>
          <t>Mensajes de clientas</t>
        </is>
      </c>
      <c r="G11" s="18" t="inlineStr">
        <is>
          <t>% que respondió Lalan</t>
        </is>
      </c>
      <c r="H11" s="18" t="inlineStr">
        <is>
          <t>Pases a persona por 100 mensajes</t>
        </is>
      </c>
      <c r="I11" s="18" t="inlineStr">
        <is>
          <t>Espera del equipo hoy (min)</t>
        </is>
      </c>
      <c r="J11" s="18" t="inlineStr">
        <is>
          <t>Antes: minutos para responder</t>
        </is>
      </c>
      <c r="K11" s="18" t="inlineStr">
        <is>
          <t>Citas que agendó Lalan</t>
        </is>
      </c>
      <c r="L11" s="18" t="inlineStr">
        <is>
          <t>% de citas por Lalan</t>
        </is>
      </c>
      <c r="M11" s="18" t="inlineStr">
        <is>
          <t>% de citas sin marcar</t>
        </is>
      </c>
      <c r="N11" s="18" t="inlineStr">
        <is>
          <t>Antes: faltas por semana</t>
        </is>
      </c>
      <c r="O11" s="18" t="inlineStr">
        <is>
          <t>Minutos de app por día activo</t>
        </is>
      </c>
      <c r="P11" s="18" t="inlineStr">
        <is>
          <t>Preguntas a Lalan</t>
        </is>
      </c>
      <c r="Q11" s="18" t="inlineStr">
        <is>
          <t>% informes abiertos</t>
        </is>
      </c>
      <c r="R11" s="18" t="inlineStr">
        <is>
          <t>Nota semanal promedio (1-5)</t>
        </is>
      </c>
      <c r="S11" s="18" t="inlineStr">
        <is>
          <t>Horas ahorradas por semana</t>
        </is>
      </c>
      <c r="T11" s="18" t="inlineStr">
        <is>
          <t>Antes: horas por semana en WhatsApp</t>
        </is>
      </c>
      <c r="U11" s="18" t="inlineStr">
        <is>
          <t>Satisfacción de sus clientas</t>
        </is>
      </c>
      <c r="V11" s="18" t="inlineStr">
        <is>
          <t>Facilidad para su equipo</t>
        </is>
      </c>
      <c r="W11" s="18" t="inlineStr">
        <is>
          <t>NPS</t>
        </is>
      </c>
      <c r="X11" s="18" t="inlineStr">
        <is>
          <t>Pagaría al mes (RD$)</t>
        </is>
      </c>
      <c r="Y11" s="18" t="inlineStr">
        <is>
          <t>Lectura</t>
        </is>
      </c>
    </row>
    <row r="12">
      <c r="A12" s="38">
        <f>IF(Perfil!$A$6="","",Perfil!$A$6)</f>
        <v/>
      </c>
      <c r="B12" s="23">
        <f>IF(OR($A12="",Perfil!$B$6="no está en Lalan"),"",Perfil!$B$6)</f>
        <v/>
      </c>
      <c r="C12" s="23">
        <f>IF($A12="","",IF(Perfil!$Q$6="","—",Perfil!$Q$6))</f>
        <v/>
      </c>
      <c r="D12" s="39">
        <f>IF($B12="","",COUNTIFS('Datos diario'!$C:$C,$B12))</f>
        <v/>
      </c>
      <c r="E12" s="39">
        <f>IF($B12="","",COUNTIFS('Datos diario'!$C:$C,$B12,'Datos diario'!$U:$U,"&gt;0"))</f>
        <v/>
      </c>
      <c r="F12" s="31">
        <f>IF($B12="","",SUMIFS('Datos diario'!$E:$E,'Datos diario'!$C:$C,$B12))</f>
        <v/>
      </c>
      <c r="G12" s="32">
        <f>IF($B12="","",IFERROR(SUMIFS('Datos diario'!$F:$F,'Datos diario'!$C:$C,$B12)/(SUMIFS('Datos diario'!$F:$F,'Datos diario'!$C:$C,$B12)+SUMIFS('Datos diario'!$G:$G,'Datos diario'!$C:$C,$B12)),""))</f>
        <v/>
      </c>
      <c r="H12" s="30">
        <f>IF($B12="","",IFERROR(SUMIFS('Datos diario'!$I:$I,'Datos diario'!$C:$C,$B12)/SUMIFS('Datos diario'!$E:$E,'Datos diario'!$C:$C,$B12)*100,""))</f>
        <v/>
      </c>
      <c r="I12" s="30">
        <f>IF($B12="","",IFERROR(AVERAGEIFS('Datos diario'!$M:$M,'Datos diario'!$C:$C,$B12,'Datos diario'!$L:$L,"&gt;0"),""))</f>
        <v/>
      </c>
      <c r="J12" s="39">
        <f>IF($A12="","",IFERROR(IF(INDEX('Línea base'!$F$6:$F$17,MATCH($A12,'Línea base'!$A$6:$A$17,0))="","",INDEX('Línea base'!$F$6:$F$17,MATCH($A12,'Línea base'!$A$6:$A$17,0))),""))</f>
        <v/>
      </c>
      <c r="K12" s="31">
        <f>IF($B12="","",SUMIFS('Datos diario'!$P:$P,'Datos diario'!$C:$C,$B12))</f>
        <v/>
      </c>
      <c r="L12" s="32">
        <f>IF($B12="","",IFERROR(SUMIFS('Datos diario'!$P:$P,'Datos diario'!$C:$C,$B12)/SUMIFS('Datos diario'!$O:$O,'Datos diario'!$C:$C,$B12),""))</f>
        <v/>
      </c>
      <c r="M12" s="32">
        <f>IF($B12="","",IFERROR(SUMIFS('Datos diario'!$T:$T,'Datos diario'!$C:$C,$B12)/SUMIFS('Datos diario'!$Q:$Q,'Datos diario'!$C:$C,$B12),""))</f>
        <v/>
      </c>
      <c r="N12" s="39">
        <f>IF($A12="","",IFERROR(IF(INDEX('Línea base'!$H$6:$H$17,MATCH($A12,'Línea base'!$A$6:$A$17,0))="","",INDEX('Línea base'!$H$6:$H$17,MATCH($A12,'Línea base'!$A$6:$A$17,0))),""))</f>
        <v/>
      </c>
      <c r="O12" s="39">
        <f>IF($B12="","",IFERROR(SUMIFS('Datos diario'!$U:$U,'Datos diario'!$C:$C,$B12)/E12,""))</f>
        <v/>
      </c>
      <c r="P12" s="31">
        <f>IF($B12="","",SUMIFS('Datos diario'!$X:$X,'Datos diario'!$C:$C,$B12))</f>
        <v/>
      </c>
      <c r="Q12" s="32">
        <f>IF($B12="","",IFERROR(SUMIFS('Datos diario'!$AB:$AB,'Datos diario'!$C:$C,$B12)/SUMIFS('Datos diario'!$AA:$AA,'Datos diario'!$C:$C,$B12),""))</f>
        <v/>
      </c>
      <c r="R12" s="30">
        <f>IF($A12="","",IFERROR(AVERAGEIFS('Revisión semanal'!$L$6:$L$205,'Revisión semanal'!$B$6:$B$205,$A12),""))</f>
        <v/>
      </c>
      <c r="S12" s="30">
        <f>IF($A12="","",IFERROR(AVERAGEIFS('Revisión semanal'!$M$6:$M$205,'Revisión semanal'!$B$6:$B$205,$A12),""))</f>
        <v/>
      </c>
      <c r="T12" s="39">
        <f>IF($A12="","",IFERROR(IF(INDEX('Línea base'!$D$6:$D$17,MATCH($A12,'Línea base'!$A$6:$A$17,0))="","",INDEX('Línea base'!$D$6:$D$17,MATCH($A12,'Línea base'!$A$6:$A$17,0))),""))</f>
        <v/>
      </c>
      <c r="U12" s="30">
        <f>IF($A12="","",IFERROR(AVERAGEIFS('Clientas'!$G$6:$G$405,'Clientas'!$B$6:$B$405,$A12),""))</f>
        <v/>
      </c>
      <c r="V12" s="30">
        <f>IF($A12="","",IFERROR(AVERAGEIFS('Equipo'!$D$6:$D$155,'Equipo'!$B$6:$B$155,$A12),""))</f>
        <v/>
      </c>
      <c r="W12" s="39">
        <f>IF($A12="","",IFERROR(IF(INDEX('Cierre'!$C$6:$C$17,MATCH($A12,'Cierre'!$B$6:$B$17,0))="","",INDEX('Cierre'!$C$6:$C$17,MATCH($A12,'Cierre'!$B$6:$B$17,0))),""))</f>
        <v/>
      </c>
      <c r="X12" s="31">
        <f>IF($A12="","",IFERROR(IF(INDEX('Cierre'!$F$6:$F$17,MATCH($A12,'Cierre'!$B$6:$B$17,0))="","",INDEX('Cierre'!$F$6:$F$17,MATCH($A12,'Cierre'!$B$6:$B$17,0))),""))</f>
        <v/>
      </c>
      <c r="Y12" s="23">
        <f>IF($A12="","",IF(W12="","Sin cierre todavía",IF(AND(W12&gt;=9,N(G12)&gt;=0.6),"Testimonio: pídeselo",IF(W12&lt;=6,"Riesgo: entender por qué","Seguir midiendo"))))</f>
        <v/>
      </c>
    </row>
    <row r="13">
      <c r="A13" s="38">
        <f>IF(Perfil!$A$7="","",Perfil!$A$7)</f>
        <v/>
      </c>
      <c r="B13" s="23">
        <f>IF(OR($A13="",Perfil!$B$7="no está en Lalan"),"",Perfil!$B$7)</f>
        <v/>
      </c>
      <c r="C13" s="23">
        <f>IF($A13="","",IF(Perfil!$Q$7="","—",Perfil!$Q$7))</f>
        <v/>
      </c>
      <c r="D13" s="39">
        <f>IF($B13="","",COUNTIFS('Datos diario'!$C:$C,$B13))</f>
        <v/>
      </c>
      <c r="E13" s="39">
        <f>IF($B13="","",COUNTIFS('Datos diario'!$C:$C,$B13,'Datos diario'!$U:$U,"&gt;0"))</f>
        <v/>
      </c>
      <c r="F13" s="31">
        <f>IF($B13="","",SUMIFS('Datos diario'!$E:$E,'Datos diario'!$C:$C,$B13))</f>
        <v/>
      </c>
      <c r="G13" s="32">
        <f>IF($B13="","",IFERROR(SUMIFS('Datos diario'!$F:$F,'Datos diario'!$C:$C,$B13)/(SUMIFS('Datos diario'!$F:$F,'Datos diario'!$C:$C,$B13)+SUMIFS('Datos diario'!$G:$G,'Datos diario'!$C:$C,$B13)),""))</f>
        <v/>
      </c>
      <c r="H13" s="30">
        <f>IF($B13="","",IFERROR(SUMIFS('Datos diario'!$I:$I,'Datos diario'!$C:$C,$B13)/SUMIFS('Datos diario'!$E:$E,'Datos diario'!$C:$C,$B13)*100,""))</f>
        <v/>
      </c>
      <c r="I13" s="30">
        <f>IF($B13="","",IFERROR(AVERAGEIFS('Datos diario'!$M:$M,'Datos diario'!$C:$C,$B13,'Datos diario'!$L:$L,"&gt;0"),""))</f>
        <v/>
      </c>
      <c r="J13" s="39">
        <f>IF($A13="","",IFERROR(IF(INDEX('Línea base'!$F$6:$F$17,MATCH($A13,'Línea base'!$A$6:$A$17,0))="","",INDEX('Línea base'!$F$6:$F$17,MATCH($A13,'Línea base'!$A$6:$A$17,0))),""))</f>
        <v/>
      </c>
      <c r="K13" s="31">
        <f>IF($B13="","",SUMIFS('Datos diario'!$P:$P,'Datos diario'!$C:$C,$B13))</f>
        <v/>
      </c>
      <c r="L13" s="32">
        <f>IF($B13="","",IFERROR(SUMIFS('Datos diario'!$P:$P,'Datos diario'!$C:$C,$B13)/SUMIFS('Datos diario'!$O:$O,'Datos diario'!$C:$C,$B13),""))</f>
        <v/>
      </c>
      <c r="M13" s="32">
        <f>IF($B13="","",IFERROR(SUMIFS('Datos diario'!$T:$T,'Datos diario'!$C:$C,$B13)/SUMIFS('Datos diario'!$Q:$Q,'Datos diario'!$C:$C,$B13),""))</f>
        <v/>
      </c>
      <c r="N13" s="39">
        <f>IF($A13="","",IFERROR(IF(INDEX('Línea base'!$H$6:$H$17,MATCH($A13,'Línea base'!$A$6:$A$17,0))="","",INDEX('Línea base'!$H$6:$H$17,MATCH($A13,'Línea base'!$A$6:$A$17,0))),""))</f>
        <v/>
      </c>
      <c r="O13" s="39">
        <f>IF($B13="","",IFERROR(SUMIFS('Datos diario'!$U:$U,'Datos diario'!$C:$C,$B13)/E13,""))</f>
        <v/>
      </c>
      <c r="P13" s="31">
        <f>IF($B13="","",SUMIFS('Datos diario'!$X:$X,'Datos diario'!$C:$C,$B13))</f>
        <v/>
      </c>
      <c r="Q13" s="32">
        <f>IF($B13="","",IFERROR(SUMIFS('Datos diario'!$AB:$AB,'Datos diario'!$C:$C,$B13)/SUMIFS('Datos diario'!$AA:$AA,'Datos diario'!$C:$C,$B13),""))</f>
        <v/>
      </c>
      <c r="R13" s="30">
        <f>IF($A13="","",IFERROR(AVERAGEIFS('Revisión semanal'!$L$6:$L$205,'Revisión semanal'!$B$6:$B$205,$A13),""))</f>
        <v/>
      </c>
      <c r="S13" s="30">
        <f>IF($A13="","",IFERROR(AVERAGEIFS('Revisión semanal'!$M$6:$M$205,'Revisión semanal'!$B$6:$B$205,$A13),""))</f>
        <v/>
      </c>
      <c r="T13" s="39">
        <f>IF($A13="","",IFERROR(IF(INDEX('Línea base'!$D$6:$D$17,MATCH($A13,'Línea base'!$A$6:$A$17,0))="","",INDEX('Línea base'!$D$6:$D$17,MATCH($A13,'Línea base'!$A$6:$A$17,0))),""))</f>
        <v/>
      </c>
      <c r="U13" s="30">
        <f>IF($A13="","",IFERROR(AVERAGEIFS('Clientas'!$G$6:$G$405,'Clientas'!$B$6:$B$405,$A13),""))</f>
        <v/>
      </c>
      <c r="V13" s="30">
        <f>IF($A13="","",IFERROR(AVERAGEIFS('Equipo'!$D$6:$D$155,'Equipo'!$B$6:$B$155,$A13),""))</f>
        <v/>
      </c>
      <c r="W13" s="39">
        <f>IF($A13="","",IFERROR(IF(INDEX('Cierre'!$C$6:$C$17,MATCH($A13,'Cierre'!$B$6:$B$17,0))="","",INDEX('Cierre'!$C$6:$C$17,MATCH($A13,'Cierre'!$B$6:$B$17,0))),""))</f>
        <v/>
      </c>
      <c r="X13" s="31">
        <f>IF($A13="","",IFERROR(IF(INDEX('Cierre'!$F$6:$F$17,MATCH($A13,'Cierre'!$B$6:$B$17,0))="","",INDEX('Cierre'!$F$6:$F$17,MATCH($A13,'Cierre'!$B$6:$B$17,0))),""))</f>
        <v/>
      </c>
      <c r="Y13" s="23">
        <f>IF($A13="","",IF(W13="","Sin cierre todavía",IF(AND(W13&gt;=9,N(G13)&gt;=0.6),"Testimonio: pídeselo",IF(W13&lt;=6,"Riesgo: entender por qué","Seguir midiendo"))))</f>
        <v/>
      </c>
    </row>
    <row r="14">
      <c r="A14" s="38">
        <f>IF(Perfil!$A$8="","",Perfil!$A$8)</f>
        <v/>
      </c>
      <c r="B14" s="23">
        <f>IF(OR($A14="",Perfil!$B$8="no está en Lalan"),"",Perfil!$B$8)</f>
        <v/>
      </c>
      <c r="C14" s="23">
        <f>IF($A14="","",IF(Perfil!$Q$8="","—",Perfil!$Q$8))</f>
        <v/>
      </c>
      <c r="D14" s="39">
        <f>IF($B14="","",COUNTIFS('Datos diario'!$C:$C,$B14))</f>
        <v/>
      </c>
      <c r="E14" s="39">
        <f>IF($B14="","",COUNTIFS('Datos diario'!$C:$C,$B14,'Datos diario'!$U:$U,"&gt;0"))</f>
        <v/>
      </c>
      <c r="F14" s="31">
        <f>IF($B14="","",SUMIFS('Datos diario'!$E:$E,'Datos diario'!$C:$C,$B14))</f>
        <v/>
      </c>
      <c r="G14" s="32">
        <f>IF($B14="","",IFERROR(SUMIFS('Datos diario'!$F:$F,'Datos diario'!$C:$C,$B14)/(SUMIFS('Datos diario'!$F:$F,'Datos diario'!$C:$C,$B14)+SUMIFS('Datos diario'!$G:$G,'Datos diario'!$C:$C,$B14)),""))</f>
        <v/>
      </c>
      <c r="H14" s="30">
        <f>IF($B14="","",IFERROR(SUMIFS('Datos diario'!$I:$I,'Datos diario'!$C:$C,$B14)/SUMIFS('Datos diario'!$E:$E,'Datos diario'!$C:$C,$B14)*100,""))</f>
        <v/>
      </c>
      <c r="I14" s="30">
        <f>IF($B14="","",IFERROR(AVERAGEIFS('Datos diario'!$M:$M,'Datos diario'!$C:$C,$B14,'Datos diario'!$L:$L,"&gt;0"),""))</f>
        <v/>
      </c>
      <c r="J14" s="39">
        <f>IF($A14="","",IFERROR(IF(INDEX('Línea base'!$F$6:$F$17,MATCH($A14,'Línea base'!$A$6:$A$17,0))="","",INDEX('Línea base'!$F$6:$F$17,MATCH($A14,'Línea base'!$A$6:$A$17,0))),""))</f>
        <v/>
      </c>
      <c r="K14" s="31">
        <f>IF($B14="","",SUMIFS('Datos diario'!$P:$P,'Datos diario'!$C:$C,$B14))</f>
        <v/>
      </c>
      <c r="L14" s="32">
        <f>IF($B14="","",IFERROR(SUMIFS('Datos diario'!$P:$P,'Datos diario'!$C:$C,$B14)/SUMIFS('Datos diario'!$O:$O,'Datos diario'!$C:$C,$B14),""))</f>
        <v/>
      </c>
      <c r="M14" s="32">
        <f>IF($B14="","",IFERROR(SUMIFS('Datos diario'!$T:$T,'Datos diario'!$C:$C,$B14)/SUMIFS('Datos diario'!$Q:$Q,'Datos diario'!$C:$C,$B14),""))</f>
        <v/>
      </c>
      <c r="N14" s="39">
        <f>IF($A14="","",IFERROR(IF(INDEX('Línea base'!$H$6:$H$17,MATCH($A14,'Línea base'!$A$6:$A$17,0))="","",INDEX('Línea base'!$H$6:$H$17,MATCH($A14,'Línea base'!$A$6:$A$17,0))),""))</f>
        <v/>
      </c>
      <c r="O14" s="39">
        <f>IF($B14="","",IFERROR(SUMIFS('Datos diario'!$U:$U,'Datos diario'!$C:$C,$B14)/E14,""))</f>
        <v/>
      </c>
      <c r="P14" s="31">
        <f>IF($B14="","",SUMIFS('Datos diario'!$X:$X,'Datos diario'!$C:$C,$B14))</f>
        <v/>
      </c>
      <c r="Q14" s="32">
        <f>IF($B14="","",IFERROR(SUMIFS('Datos diario'!$AB:$AB,'Datos diario'!$C:$C,$B14)/SUMIFS('Datos diario'!$AA:$AA,'Datos diario'!$C:$C,$B14),""))</f>
        <v/>
      </c>
      <c r="R14" s="30">
        <f>IF($A14="","",IFERROR(AVERAGEIFS('Revisión semanal'!$L$6:$L$205,'Revisión semanal'!$B$6:$B$205,$A14),""))</f>
        <v/>
      </c>
      <c r="S14" s="30">
        <f>IF($A14="","",IFERROR(AVERAGEIFS('Revisión semanal'!$M$6:$M$205,'Revisión semanal'!$B$6:$B$205,$A14),""))</f>
        <v/>
      </c>
      <c r="T14" s="39">
        <f>IF($A14="","",IFERROR(IF(INDEX('Línea base'!$D$6:$D$17,MATCH($A14,'Línea base'!$A$6:$A$17,0))="","",INDEX('Línea base'!$D$6:$D$17,MATCH($A14,'Línea base'!$A$6:$A$17,0))),""))</f>
        <v/>
      </c>
      <c r="U14" s="30">
        <f>IF($A14="","",IFERROR(AVERAGEIFS('Clientas'!$G$6:$G$405,'Clientas'!$B$6:$B$405,$A14),""))</f>
        <v/>
      </c>
      <c r="V14" s="30">
        <f>IF($A14="","",IFERROR(AVERAGEIFS('Equipo'!$D$6:$D$155,'Equipo'!$B$6:$B$155,$A14),""))</f>
        <v/>
      </c>
      <c r="W14" s="39">
        <f>IF($A14="","",IFERROR(IF(INDEX('Cierre'!$C$6:$C$17,MATCH($A14,'Cierre'!$B$6:$B$17,0))="","",INDEX('Cierre'!$C$6:$C$17,MATCH($A14,'Cierre'!$B$6:$B$17,0))),""))</f>
        <v/>
      </c>
      <c r="X14" s="31">
        <f>IF($A14="","",IFERROR(IF(INDEX('Cierre'!$F$6:$F$17,MATCH($A14,'Cierre'!$B$6:$B$17,0))="","",INDEX('Cierre'!$F$6:$F$17,MATCH($A14,'Cierre'!$B$6:$B$17,0))),""))</f>
        <v/>
      </c>
      <c r="Y14" s="23">
        <f>IF($A14="","",IF(W14="","Sin cierre todavía",IF(AND(W14&gt;=9,N(G14)&gt;=0.6),"Testimonio: pídeselo",IF(W14&lt;=6,"Riesgo: entender por qué","Seguir midiendo"))))</f>
        <v/>
      </c>
    </row>
    <row r="15">
      <c r="A15" s="38">
        <f>IF(Perfil!$A$9="","",Perfil!$A$9)</f>
        <v/>
      </c>
      <c r="B15" s="23">
        <f>IF(OR($A15="",Perfil!$B$9="no está en Lalan"),"",Perfil!$B$9)</f>
        <v/>
      </c>
      <c r="C15" s="23">
        <f>IF($A15="","",IF(Perfil!$Q$9="","—",Perfil!$Q$9))</f>
        <v/>
      </c>
      <c r="D15" s="39">
        <f>IF($B15="","",COUNTIFS('Datos diario'!$C:$C,$B15))</f>
        <v/>
      </c>
      <c r="E15" s="39">
        <f>IF($B15="","",COUNTIFS('Datos diario'!$C:$C,$B15,'Datos diario'!$U:$U,"&gt;0"))</f>
        <v/>
      </c>
      <c r="F15" s="31">
        <f>IF($B15="","",SUMIFS('Datos diario'!$E:$E,'Datos diario'!$C:$C,$B15))</f>
        <v/>
      </c>
      <c r="G15" s="32">
        <f>IF($B15="","",IFERROR(SUMIFS('Datos diario'!$F:$F,'Datos diario'!$C:$C,$B15)/(SUMIFS('Datos diario'!$F:$F,'Datos diario'!$C:$C,$B15)+SUMIFS('Datos diario'!$G:$G,'Datos diario'!$C:$C,$B15)),""))</f>
        <v/>
      </c>
      <c r="H15" s="30">
        <f>IF($B15="","",IFERROR(SUMIFS('Datos diario'!$I:$I,'Datos diario'!$C:$C,$B15)/SUMIFS('Datos diario'!$E:$E,'Datos diario'!$C:$C,$B15)*100,""))</f>
        <v/>
      </c>
      <c r="I15" s="30">
        <f>IF($B15="","",IFERROR(AVERAGEIFS('Datos diario'!$M:$M,'Datos diario'!$C:$C,$B15,'Datos diario'!$L:$L,"&gt;0"),""))</f>
        <v/>
      </c>
      <c r="J15" s="39">
        <f>IF($A15="","",IFERROR(IF(INDEX('Línea base'!$F$6:$F$17,MATCH($A15,'Línea base'!$A$6:$A$17,0))="","",INDEX('Línea base'!$F$6:$F$17,MATCH($A15,'Línea base'!$A$6:$A$17,0))),""))</f>
        <v/>
      </c>
      <c r="K15" s="31">
        <f>IF($B15="","",SUMIFS('Datos diario'!$P:$P,'Datos diario'!$C:$C,$B15))</f>
        <v/>
      </c>
      <c r="L15" s="32">
        <f>IF($B15="","",IFERROR(SUMIFS('Datos diario'!$P:$P,'Datos diario'!$C:$C,$B15)/SUMIFS('Datos diario'!$O:$O,'Datos diario'!$C:$C,$B15),""))</f>
        <v/>
      </c>
      <c r="M15" s="32">
        <f>IF($B15="","",IFERROR(SUMIFS('Datos diario'!$T:$T,'Datos diario'!$C:$C,$B15)/SUMIFS('Datos diario'!$Q:$Q,'Datos diario'!$C:$C,$B15),""))</f>
        <v/>
      </c>
      <c r="N15" s="39">
        <f>IF($A15="","",IFERROR(IF(INDEX('Línea base'!$H$6:$H$17,MATCH($A15,'Línea base'!$A$6:$A$17,0))="","",INDEX('Línea base'!$H$6:$H$17,MATCH($A15,'Línea base'!$A$6:$A$17,0))),""))</f>
        <v/>
      </c>
      <c r="O15" s="39">
        <f>IF($B15="","",IFERROR(SUMIFS('Datos diario'!$U:$U,'Datos diario'!$C:$C,$B15)/E15,""))</f>
        <v/>
      </c>
      <c r="P15" s="31">
        <f>IF($B15="","",SUMIFS('Datos diario'!$X:$X,'Datos diario'!$C:$C,$B15))</f>
        <v/>
      </c>
      <c r="Q15" s="32">
        <f>IF($B15="","",IFERROR(SUMIFS('Datos diario'!$AB:$AB,'Datos diario'!$C:$C,$B15)/SUMIFS('Datos diario'!$AA:$AA,'Datos diario'!$C:$C,$B15),""))</f>
        <v/>
      </c>
      <c r="R15" s="30">
        <f>IF($A15="","",IFERROR(AVERAGEIFS('Revisión semanal'!$L$6:$L$205,'Revisión semanal'!$B$6:$B$205,$A15),""))</f>
        <v/>
      </c>
      <c r="S15" s="30">
        <f>IF($A15="","",IFERROR(AVERAGEIFS('Revisión semanal'!$M$6:$M$205,'Revisión semanal'!$B$6:$B$205,$A15),""))</f>
        <v/>
      </c>
      <c r="T15" s="39">
        <f>IF($A15="","",IFERROR(IF(INDEX('Línea base'!$D$6:$D$17,MATCH($A15,'Línea base'!$A$6:$A$17,0))="","",INDEX('Línea base'!$D$6:$D$17,MATCH($A15,'Línea base'!$A$6:$A$17,0))),""))</f>
        <v/>
      </c>
      <c r="U15" s="30">
        <f>IF($A15="","",IFERROR(AVERAGEIFS('Clientas'!$G$6:$G$405,'Clientas'!$B$6:$B$405,$A15),""))</f>
        <v/>
      </c>
      <c r="V15" s="30">
        <f>IF($A15="","",IFERROR(AVERAGEIFS('Equipo'!$D$6:$D$155,'Equipo'!$B$6:$B$155,$A15),""))</f>
        <v/>
      </c>
      <c r="W15" s="39">
        <f>IF($A15="","",IFERROR(IF(INDEX('Cierre'!$C$6:$C$17,MATCH($A15,'Cierre'!$B$6:$B$17,0))="","",INDEX('Cierre'!$C$6:$C$17,MATCH($A15,'Cierre'!$B$6:$B$17,0))),""))</f>
        <v/>
      </c>
      <c r="X15" s="31">
        <f>IF($A15="","",IFERROR(IF(INDEX('Cierre'!$F$6:$F$17,MATCH($A15,'Cierre'!$B$6:$B$17,0))="","",INDEX('Cierre'!$F$6:$F$17,MATCH($A15,'Cierre'!$B$6:$B$17,0))),""))</f>
        <v/>
      </c>
      <c r="Y15" s="23">
        <f>IF($A15="","",IF(W15="","Sin cierre todavía",IF(AND(W15&gt;=9,N(G15)&gt;=0.6),"Testimonio: pídeselo",IF(W15&lt;=6,"Riesgo: entender por qué","Seguir midiendo"))))</f>
        <v/>
      </c>
    </row>
    <row r="16">
      <c r="A16" s="38">
        <f>IF(Perfil!$A$10="","",Perfil!$A$10)</f>
        <v/>
      </c>
      <c r="B16" s="23">
        <f>IF(OR($A16="",Perfil!$B$10="no está en Lalan"),"",Perfil!$B$10)</f>
        <v/>
      </c>
      <c r="C16" s="23">
        <f>IF($A16="","",IF(Perfil!$Q$10="","—",Perfil!$Q$10))</f>
        <v/>
      </c>
      <c r="D16" s="39">
        <f>IF($B16="","",COUNTIFS('Datos diario'!$C:$C,$B16))</f>
        <v/>
      </c>
      <c r="E16" s="39">
        <f>IF($B16="","",COUNTIFS('Datos diario'!$C:$C,$B16,'Datos diario'!$U:$U,"&gt;0"))</f>
        <v/>
      </c>
      <c r="F16" s="31">
        <f>IF($B16="","",SUMIFS('Datos diario'!$E:$E,'Datos diario'!$C:$C,$B16))</f>
        <v/>
      </c>
      <c r="G16" s="32">
        <f>IF($B16="","",IFERROR(SUMIFS('Datos diario'!$F:$F,'Datos diario'!$C:$C,$B16)/(SUMIFS('Datos diario'!$F:$F,'Datos diario'!$C:$C,$B16)+SUMIFS('Datos diario'!$G:$G,'Datos diario'!$C:$C,$B16)),""))</f>
        <v/>
      </c>
      <c r="H16" s="30">
        <f>IF($B16="","",IFERROR(SUMIFS('Datos diario'!$I:$I,'Datos diario'!$C:$C,$B16)/SUMIFS('Datos diario'!$E:$E,'Datos diario'!$C:$C,$B16)*100,""))</f>
        <v/>
      </c>
      <c r="I16" s="30">
        <f>IF($B16="","",IFERROR(AVERAGEIFS('Datos diario'!$M:$M,'Datos diario'!$C:$C,$B16,'Datos diario'!$L:$L,"&gt;0"),""))</f>
        <v/>
      </c>
      <c r="J16" s="39">
        <f>IF($A16="","",IFERROR(IF(INDEX('Línea base'!$F$6:$F$17,MATCH($A16,'Línea base'!$A$6:$A$17,0))="","",INDEX('Línea base'!$F$6:$F$17,MATCH($A16,'Línea base'!$A$6:$A$17,0))),""))</f>
        <v/>
      </c>
      <c r="K16" s="31">
        <f>IF($B16="","",SUMIFS('Datos diario'!$P:$P,'Datos diario'!$C:$C,$B16))</f>
        <v/>
      </c>
      <c r="L16" s="32">
        <f>IF($B16="","",IFERROR(SUMIFS('Datos diario'!$P:$P,'Datos diario'!$C:$C,$B16)/SUMIFS('Datos diario'!$O:$O,'Datos diario'!$C:$C,$B16),""))</f>
        <v/>
      </c>
      <c r="M16" s="32">
        <f>IF($B16="","",IFERROR(SUMIFS('Datos diario'!$T:$T,'Datos diario'!$C:$C,$B16)/SUMIFS('Datos diario'!$Q:$Q,'Datos diario'!$C:$C,$B16),""))</f>
        <v/>
      </c>
      <c r="N16" s="39">
        <f>IF($A16="","",IFERROR(IF(INDEX('Línea base'!$H$6:$H$17,MATCH($A16,'Línea base'!$A$6:$A$17,0))="","",INDEX('Línea base'!$H$6:$H$17,MATCH($A16,'Línea base'!$A$6:$A$17,0))),""))</f>
        <v/>
      </c>
      <c r="O16" s="39">
        <f>IF($B16="","",IFERROR(SUMIFS('Datos diario'!$U:$U,'Datos diario'!$C:$C,$B16)/E16,""))</f>
        <v/>
      </c>
      <c r="P16" s="31">
        <f>IF($B16="","",SUMIFS('Datos diario'!$X:$X,'Datos diario'!$C:$C,$B16))</f>
        <v/>
      </c>
      <c r="Q16" s="32">
        <f>IF($B16="","",IFERROR(SUMIFS('Datos diario'!$AB:$AB,'Datos diario'!$C:$C,$B16)/SUMIFS('Datos diario'!$AA:$AA,'Datos diario'!$C:$C,$B16),""))</f>
        <v/>
      </c>
      <c r="R16" s="30">
        <f>IF($A16="","",IFERROR(AVERAGEIFS('Revisión semanal'!$L$6:$L$205,'Revisión semanal'!$B$6:$B$205,$A16),""))</f>
        <v/>
      </c>
      <c r="S16" s="30">
        <f>IF($A16="","",IFERROR(AVERAGEIFS('Revisión semanal'!$M$6:$M$205,'Revisión semanal'!$B$6:$B$205,$A16),""))</f>
        <v/>
      </c>
      <c r="T16" s="39">
        <f>IF($A16="","",IFERROR(IF(INDEX('Línea base'!$D$6:$D$17,MATCH($A16,'Línea base'!$A$6:$A$17,0))="","",INDEX('Línea base'!$D$6:$D$17,MATCH($A16,'Línea base'!$A$6:$A$17,0))),""))</f>
        <v/>
      </c>
      <c r="U16" s="30">
        <f>IF($A16="","",IFERROR(AVERAGEIFS('Clientas'!$G$6:$G$405,'Clientas'!$B$6:$B$405,$A16),""))</f>
        <v/>
      </c>
      <c r="V16" s="30">
        <f>IF($A16="","",IFERROR(AVERAGEIFS('Equipo'!$D$6:$D$155,'Equipo'!$B$6:$B$155,$A16),""))</f>
        <v/>
      </c>
      <c r="W16" s="39">
        <f>IF($A16="","",IFERROR(IF(INDEX('Cierre'!$C$6:$C$17,MATCH($A16,'Cierre'!$B$6:$B$17,0))="","",INDEX('Cierre'!$C$6:$C$17,MATCH($A16,'Cierre'!$B$6:$B$17,0))),""))</f>
        <v/>
      </c>
      <c r="X16" s="31">
        <f>IF($A16="","",IFERROR(IF(INDEX('Cierre'!$F$6:$F$17,MATCH($A16,'Cierre'!$B$6:$B$17,0))="","",INDEX('Cierre'!$F$6:$F$17,MATCH($A16,'Cierre'!$B$6:$B$17,0))),""))</f>
        <v/>
      </c>
      <c r="Y16" s="23">
        <f>IF($A16="","",IF(W16="","Sin cierre todavía",IF(AND(W16&gt;=9,N(G16)&gt;=0.6),"Testimonio: pídeselo",IF(W16&lt;=6,"Riesgo: entender por qué","Seguir midiendo"))))</f>
        <v/>
      </c>
    </row>
    <row r="17">
      <c r="A17" s="38">
        <f>IF(Perfil!$A$11="","",Perfil!$A$11)</f>
        <v/>
      </c>
      <c r="B17" s="23">
        <f>IF(OR($A17="",Perfil!$B$11="no está en Lalan"),"",Perfil!$B$11)</f>
        <v/>
      </c>
      <c r="C17" s="23">
        <f>IF($A17="","",IF(Perfil!$Q$11="","—",Perfil!$Q$11))</f>
        <v/>
      </c>
      <c r="D17" s="39">
        <f>IF($B17="","",COUNTIFS('Datos diario'!$C:$C,$B17))</f>
        <v/>
      </c>
      <c r="E17" s="39">
        <f>IF($B17="","",COUNTIFS('Datos diario'!$C:$C,$B17,'Datos diario'!$U:$U,"&gt;0"))</f>
        <v/>
      </c>
      <c r="F17" s="31">
        <f>IF($B17="","",SUMIFS('Datos diario'!$E:$E,'Datos diario'!$C:$C,$B17))</f>
        <v/>
      </c>
      <c r="G17" s="32">
        <f>IF($B17="","",IFERROR(SUMIFS('Datos diario'!$F:$F,'Datos diario'!$C:$C,$B17)/(SUMIFS('Datos diario'!$F:$F,'Datos diario'!$C:$C,$B17)+SUMIFS('Datos diario'!$G:$G,'Datos diario'!$C:$C,$B17)),""))</f>
        <v/>
      </c>
      <c r="H17" s="30">
        <f>IF($B17="","",IFERROR(SUMIFS('Datos diario'!$I:$I,'Datos diario'!$C:$C,$B17)/SUMIFS('Datos diario'!$E:$E,'Datos diario'!$C:$C,$B17)*100,""))</f>
        <v/>
      </c>
      <c r="I17" s="30">
        <f>IF($B17="","",IFERROR(AVERAGEIFS('Datos diario'!$M:$M,'Datos diario'!$C:$C,$B17,'Datos diario'!$L:$L,"&gt;0"),""))</f>
        <v/>
      </c>
      <c r="J17" s="39">
        <f>IF($A17="","",IFERROR(IF(INDEX('Línea base'!$F$6:$F$17,MATCH($A17,'Línea base'!$A$6:$A$17,0))="","",INDEX('Línea base'!$F$6:$F$17,MATCH($A17,'Línea base'!$A$6:$A$17,0))),""))</f>
        <v/>
      </c>
      <c r="K17" s="31">
        <f>IF($B17="","",SUMIFS('Datos diario'!$P:$P,'Datos diario'!$C:$C,$B17))</f>
        <v/>
      </c>
      <c r="L17" s="32">
        <f>IF($B17="","",IFERROR(SUMIFS('Datos diario'!$P:$P,'Datos diario'!$C:$C,$B17)/SUMIFS('Datos diario'!$O:$O,'Datos diario'!$C:$C,$B17),""))</f>
        <v/>
      </c>
      <c r="M17" s="32">
        <f>IF($B17="","",IFERROR(SUMIFS('Datos diario'!$T:$T,'Datos diario'!$C:$C,$B17)/SUMIFS('Datos diario'!$Q:$Q,'Datos diario'!$C:$C,$B17),""))</f>
        <v/>
      </c>
      <c r="N17" s="39">
        <f>IF($A17="","",IFERROR(IF(INDEX('Línea base'!$H$6:$H$17,MATCH($A17,'Línea base'!$A$6:$A$17,0))="","",INDEX('Línea base'!$H$6:$H$17,MATCH($A17,'Línea base'!$A$6:$A$17,0))),""))</f>
        <v/>
      </c>
      <c r="O17" s="39">
        <f>IF($B17="","",IFERROR(SUMIFS('Datos diario'!$U:$U,'Datos diario'!$C:$C,$B17)/E17,""))</f>
        <v/>
      </c>
      <c r="P17" s="31">
        <f>IF($B17="","",SUMIFS('Datos diario'!$X:$X,'Datos diario'!$C:$C,$B17))</f>
        <v/>
      </c>
      <c r="Q17" s="32">
        <f>IF($B17="","",IFERROR(SUMIFS('Datos diario'!$AB:$AB,'Datos diario'!$C:$C,$B17)/SUMIFS('Datos diario'!$AA:$AA,'Datos diario'!$C:$C,$B17),""))</f>
        <v/>
      </c>
      <c r="R17" s="30">
        <f>IF($A17="","",IFERROR(AVERAGEIFS('Revisión semanal'!$L$6:$L$205,'Revisión semanal'!$B$6:$B$205,$A17),""))</f>
        <v/>
      </c>
      <c r="S17" s="30">
        <f>IF($A17="","",IFERROR(AVERAGEIFS('Revisión semanal'!$M$6:$M$205,'Revisión semanal'!$B$6:$B$205,$A17),""))</f>
        <v/>
      </c>
      <c r="T17" s="39">
        <f>IF($A17="","",IFERROR(IF(INDEX('Línea base'!$D$6:$D$17,MATCH($A17,'Línea base'!$A$6:$A$17,0))="","",INDEX('Línea base'!$D$6:$D$17,MATCH($A17,'Línea base'!$A$6:$A$17,0))),""))</f>
        <v/>
      </c>
      <c r="U17" s="30">
        <f>IF($A17="","",IFERROR(AVERAGEIFS('Clientas'!$G$6:$G$405,'Clientas'!$B$6:$B$405,$A17),""))</f>
        <v/>
      </c>
      <c r="V17" s="30">
        <f>IF($A17="","",IFERROR(AVERAGEIFS('Equipo'!$D$6:$D$155,'Equipo'!$B$6:$B$155,$A17),""))</f>
        <v/>
      </c>
      <c r="W17" s="39">
        <f>IF($A17="","",IFERROR(IF(INDEX('Cierre'!$C$6:$C$17,MATCH($A17,'Cierre'!$B$6:$B$17,0))="","",INDEX('Cierre'!$C$6:$C$17,MATCH($A17,'Cierre'!$B$6:$B$17,0))),""))</f>
        <v/>
      </c>
      <c r="X17" s="31">
        <f>IF($A17="","",IFERROR(IF(INDEX('Cierre'!$F$6:$F$17,MATCH($A17,'Cierre'!$B$6:$B$17,0))="","",INDEX('Cierre'!$F$6:$F$17,MATCH($A17,'Cierre'!$B$6:$B$17,0))),""))</f>
        <v/>
      </c>
      <c r="Y17" s="23">
        <f>IF($A17="","",IF(W17="","Sin cierre todavía",IF(AND(W17&gt;=9,N(G17)&gt;=0.6),"Testimonio: pídeselo",IF(W17&lt;=6,"Riesgo: entender por qué","Seguir midiendo"))))</f>
        <v/>
      </c>
    </row>
    <row r="18">
      <c r="A18" s="38">
        <f>IF(Perfil!$A$12="","",Perfil!$A$12)</f>
        <v/>
      </c>
      <c r="B18" s="23">
        <f>IF(OR($A18="",Perfil!$B$12="no está en Lalan"),"",Perfil!$B$12)</f>
        <v/>
      </c>
      <c r="C18" s="23">
        <f>IF($A18="","",IF(Perfil!$Q$12="","—",Perfil!$Q$12))</f>
        <v/>
      </c>
      <c r="D18" s="39">
        <f>IF($B18="","",COUNTIFS('Datos diario'!$C:$C,$B18))</f>
        <v/>
      </c>
      <c r="E18" s="39">
        <f>IF($B18="","",COUNTIFS('Datos diario'!$C:$C,$B18,'Datos diario'!$U:$U,"&gt;0"))</f>
        <v/>
      </c>
      <c r="F18" s="31">
        <f>IF($B18="","",SUMIFS('Datos diario'!$E:$E,'Datos diario'!$C:$C,$B18))</f>
        <v/>
      </c>
      <c r="G18" s="32">
        <f>IF($B18="","",IFERROR(SUMIFS('Datos diario'!$F:$F,'Datos diario'!$C:$C,$B18)/(SUMIFS('Datos diario'!$F:$F,'Datos diario'!$C:$C,$B18)+SUMIFS('Datos diario'!$G:$G,'Datos diario'!$C:$C,$B18)),""))</f>
        <v/>
      </c>
      <c r="H18" s="30">
        <f>IF($B18="","",IFERROR(SUMIFS('Datos diario'!$I:$I,'Datos diario'!$C:$C,$B18)/SUMIFS('Datos diario'!$E:$E,'Datos diario'!$C:$C,$B18)*100,""))</f>
        <v/>
      </c>
      <c r="I18" s="30">
        <f>IF($B18="","",IFERROR(AVERAGEIFS('Datos diario'!$M:$M,'Datos diario'!$C:$C,$B18,'Datos diario'!$L:$L,"&gt;0"),""))</f>
        <v/>
      </c>
      <c r="J18" s="39">
        <f>IF($A18="","",IFERROR(IF(INDEX('Línea base'!$F$6:$F$17,MATCH($A18,'Línea base'!$A$6:$A$17,0))="","",INDEX('Línea base'!$F$6:$F$17,MATCH($A18,'Línea base'!$A$6:$A$17,0))),""))</f>
        <v/>
      </c>
      <c r="K18" s="31">
        <f>IF($B18="","",SUMIFS('Datos diario'!$P:$P,'Datos diario'!$C:$C,$B18))</f>
        <v/>
      </c>
      <c r="L18" s="32">
        <f>IF($B18="","",IFERROR(SUMIFS('Datos diario'!$P:$P,'Datos diario'!$C:$C,$B18)/SUMIFS('Datos diario'!$O:$O,'Datos diario'!$C:$C,$B18),""))</f>
        <v/>
      </c>
      <c r="M18" s="32">
        <f>IF($B18="","",IFERROR(SUMIFS('Datos diario'!$T:$T,'Datos diario'!$C:$C,$B18)/SUMIFS('Datos diario'!$Q:$Q,'Datos diario'!$C:$C,$B18),""))</f>
        <v/>
      </c>
      <c r="N18" s="39">
        <f>IF($A18="","",IFERROR(IF(INDEX('Línea base'!$H$6:$H$17,MATCH($A18,'Línea base'!$A$6:$A$17,0))="","",INDEX('Línea base'!$H$6:$H$17,MATCH($A18,'Línea base'!$A$6:$A$17,0))),""))</f>
        <v/>
      </c>
      <c r="O18" s="39">
        <f>IF($B18="","",IFERROR(SUMIFS('Datos diario'!$U:$U,'Datos diario'!$C:$C,$B18)/E18,""))</f>
        <v/>
      </c>
      <c r="P18" s="31">
        <f>IF($B18="","",SUMIFS('Datos diario'!$X:$X,'Datos diario'!$C:$C,$B18))</f>
        <v/>
      </c>
      <c r="Q18" s="32">
        <f>IF($B18="","",IFERROR(SUMIFS('Datos diario'!$AB:$AB,'Datos diario'!$C:$C,$B18)/SUMIFS('Datos diario'!$AA:$AA,'Datos diario'!$C:$C,$B18),""))</f>
        <v/>
      </c>
      <c r="R18" s="30">
        <f>IF($A18="","",IFERROR(AVERAGEIFS('Revisión semanal'!$L$6:$L$205,'Revisión semanal'!$B$6:$B$205,$A18),""))</f>
        <v/>
      </c>
      <c r="S18" s="30">
        <f>IF($A18="","",IFERROR(AVERAGEIFS('Revisión semanal'!$M$6:$M$205,'Revisión semanal'!$B$6:$B$205,$A18),""))</f>
        <v/>
      </c>
      <c r="T18" s="39">
        <f>IF($A18="","",IFERROR(IF(INDEX('Línea base'!$D$6:$D$17,MATCH($A18,'Línea base'!$A$6:$A$17,0))="","",INDEX('Línea base'!$D$6:$D$17,MATCH($A18,'Línea base'!$A$6:$A$17,0))),""))</f>
        <v/>
      </c>
      <c r="U18" s="30">
        <f>IF($A18="","",IFERROR(AVERAGEIFS('Clientas'!$G$6:$G$405,'Clientas'!$B$6:$B$405,$A18),""))</f>
        <v/>
      </c>
      <c r="V18" s="30">
        <f>IF($A18="","",IFERROR(AVERAGEIFS('Equipo'!$D$6:$D$155,'Equipo'!$B$6:$B$155,$A18),""))</f>
        <v/>
      </c>
      <c r="W18" s="39">
        <f>IF($A18="","",IFERROR(IF(INDEX('Cierre'!$C$6:$C$17,MATCH($A18,'Cierre'!$B$6:$B$17,0))="","",INDEX('Cierre'!$C$6:$C$17,MATCH($A18,'Cierre'!$B$6:$B$17,0))),""))</f>
        <v/>
      </c>
      <c r="X18" s="31">
        <f>IF($A18="","",IFERROR(IF(INDEX('Cierre'!$F$6:$F$17,MATCH($A18,'Cierre'!$B$6:$B$17,0))="","",INDEX('Cierre'!$F$6:$F$17,MATCH($A18,'Cierre'!$B$6:$B$17,0))),""))</f>
        <v/>
      </c>
      <c r="Y18" s="23">
        <f>IF($A18="","",IF(W18="","Sin cierre todavía",IF(AND(W18&gt;=9,N(G18)&gt;=0.6),"Testimonio: pídeselo",IF(W18&lt;=6,"Riesgo: entender por qué","Seguir midiendo"))))</f>
        <v/>
      </c>
    </row>
    <row r="19">
      <c r="A19" s="38">
        <f>IF(Perfil!$A$13="","",Perfil!$A$13)</f>
        <v/>
      </c>
      <c r="B19" s="23">
        <f>IF(OR($A19="",Perfil!$B$13="no está en Lalan"),"",Perfil!$B$13)</f>
        <v/>
      </c>
      <c r="C19" s="23">
        <f>IF($A19="","",IF(Perfil!$Q$13="","—",Perfil!$Q$13))</f>
        <v/>
      </c>
      <c r="D19" s="39">
        <f>IF($B19="","",COUNTIFS('Datos diario'!$C:$C,$B19))</f>
        <v/>
      </c>
      <c r="E19" s="39">
        <f>IF($B19="","",COUNTIFS('Datos diario'!$C:$C,$B19,'Datos diario'!$U:$U,"&gt;0"))</f>
        <v/>
      </c>
      <c r="F19" s="31">
        <f>IF($B19="","",SUMIFS('Datos diario'!$E:$E,'Datos diario'!$C:$C,$B19))</f>
        <v/>
      </c>
      <c r="G19" s="32">
        <f>IF($B19="","",IFERROR(SUMIFS('Datos diario'!$F:$F,'Datos diario'!$C:$C,$B19)/(SUMIFS('Datos diario'!$F:$F,'Datos diario'!$C:$C,$B19)+SUMIFS('Datos diario'!$G:$G,'Datos diario'!$C:$C,$B19)),""))</f>
        <v/>
      </c>
      <c r="H19" s="30">
        <f>IF($B19="","",IFERROR(SUMIFS('Datos diario'!$I:$I,'Datos diario'!$C:$C,$B19)/SUMIFS('Datos diario'!$E:$E,'Datos diario'!$C:$C,$B19)*100,""))</f>
        <v/>
      </c>
      <c r="I19" s="30">
        <f>IF($B19="","",IFERROR(AVERAGEIFS('Datos diario'!$M:$M,'Datos diario'!$C:$C,$B19,'Datos diario'!$L:$L,"&gt;0"),""))</f>
        <v/>
      </c>
      <c r="J19" s="39">
        <f>IF($A19="","",IFERROR(IF(INDEX('Línea base'!$F$6:$F$17,MATCH($A19,'Línea base'!$A$6:$A$17,0))="","",INDEX('Línea base'!$F$6:$F$17,MATCH($A19,'Línea base'!$A$6:$A$17,0))),""))</f>
        <v/>
      </c>
      <c r="K19" s="31">
        <f>IF($B19="","",SUMIFS('Datos diario'!$P:$P,'Datos diario'!$C:$C,$B19))</f>
        <v/>
      </c>
      <c r="L19" s="32">
        <f>IF($B19="","",IFERROR(SUMIFS('Datos diario'!$P:$P,'Datos diario'!$C:$C,$B19)/SUMIFS('Datos diario'!$O:$O,'Datos diario'!$C:$C,$B19),""))</f>
        <v/>
      </c>
      <c r="M19" s="32">
        <f>IF($B19="","",IFERROR(SUMIFS('Datos diario'!$T:$T,'Datos diario'!$C:$C,$B19)/SUMIFS('Datos diario'!$Q:$Q,'Datos diario'!$C:$C,$B19),""))</f>
        <v/>
      </c>
      <c r="N19" s="39">
        <f>IF($A19="","",IFERROR(IF(INDEX('Línea base'!$H$6:$H$17,MATCH($A19,'Línea base'!$A$6:$A$17,0))="","",INDEX('Línea base'!$H$6:$H$17,MATCH($A19,'Línea base'!$A$6:$A$17,0))),""))</f>
        <v/>
      </c>
      <c r="O19" s="39">
        <f>IF($B19="","",IFERROR(SUMIFS('Datos diario'!$U:$U,'Datos diario'!$C:$C,$B19)/E19,""))</f>
        <v/>
      </c>
      <c r="P19" s="31">
        <f>IF($B19="","",SUMIFS('Datos diario'!$X:$X,'Datos diario'!$C:$C,$B19))</f>
        <v/>
      </c>
      <c r="Q19" s="32">
        <f>IF($B19="","",IFERROR(SUMIFS('Datos diario'!$AB:$AB,'Datos diario'!$C:$C,$B19)/SUMIFS('Datos diario'!$AA:$AA,'Datos diario'!$C:$C,$B19),""))</f>
        <v/>
      </c>
      <c r="R19" s="30">
        <f>IF($A19="","",IFERROR(AVERAGEIFS('Revisión semanal'!$L$6:$L$205,'Revisión semanal'!$B$6:$B$205,$A19),""))</f>
        <v/>
      </c>
      <c r="S19" s="30">
        <f>IF($A19="","",IFERROR(AVERAGEIFS('Revisión semanal'!$M$6:$M$205,'Revisión semanal'!$B$6:$B$205,$A19),""))</f>
        <v/>
      </c>
      <c r="T19" s="39">
        <f>IF($A19="","",IFERROR(IF(INDEX('Línea base'!$D$6:$D$17,MATCH($A19,'Línea base'!$A$6:$A$17,0))="","",INDEX('Línea base'!$D$6:$D$17,MATCH($A19,'Línea base'!$A$6:$A$17,0))),""))</f>
        <v/>
      </c>
      <c r="U19" s="30">
        <f>IF($A19="","",IFERROR(AVERAGEIFS('Clientas'!$G$6:$G$405,'Clientas'!$B$6:$B$405,$A19),""))</f>
        <v/>
      </c>
      <c r="V19" s="30">
        <f>IF($A19="","",IFERROR(AVERAGEIFS('Equipo'!$D$6:$D$155,'Equipo'!$B$6:$B$155,$A19),""))</f>
        <v/>
      </c>
      <c r="W19" s="39">
        <f>IF($A19="","",IFERROR(IF(INDEX('Cierre'!$C$6:$C$17,MATCH($A19,'Cierre'!$B$6:$B$17,0))="","",INDEX('Cierre'!$C$6:$C$17,MATCH($A19,'Cierre'!$B$6:$B$17,0))),""))</f>
        <v/>
      </c>
      <c r="X19" s="31">
        <f>IF($A19="","",IFERROR(IF(INDEX('Cierre'!$F$6:$F$17,MATCH($A19,'Cierre'!$B$6:$B$17,0))="","",INDEX('Cierre'!$F$6:$F$17,MATCH($A19,'Cierre'!$B$6:$B$17,0))),""))</f>
        <v/>
      </c>
      <c r="Y19" s="23">
        <f>IF($A19="","",IF(W19="","Sin cierre todavía",IF(AND(W19&gt;=9,N(G19)&gt;=0.6),"Testimonio: pídeselo",IF(W19&lt;=6,"Riesgo: entender por qué","Seguir midiendo"))))</f>
        <v/>
      </c>
    </row>
    <row r="20">
      <c r="A20" s="38">
        <f>IF(Perfil!$A$14="","",Perfil!$A$14)</f>
        <v/>
      </c>
      <c r="B20" s="23">
        <f>IF(OR($A20="",Perfil!$B$14="no está en Lalan"),"",Perfil!$B$14)</f>
        <v/>
      </c>
      <c r="C20" s="23">
        <f>IF($A20="","",IF(Perfil!$Q$14="","—",Perfil!$Q$14))</f>
        <v/>
      </c>
      <c r="D20" s="39">
        <f>IF($B20="","",COUNTIFS('Datos diario'!$C:$C,$B20))</f>
        <v/>
      </c>
      <c r="E20" s="39">
        <f>IF($B20="","",COUNTIFS('Datos diario'!$C:$C,$B20,'Datos diario'!$U:$U,"&gt;0"))</f>
        <v/>
      </c>
      <c r="F20" s="31">
        <f>IF($B20="","",SUMIFS('Datos diario'!$E:$E,'Datos diario'!$C:$C,$B20))</f>
        <v/>
      </c>
      <c r="G20" s="32">
        <f>IF($B20="","",IFERROR(SUMIFS('Datos diario'!$F:$F,'Datos diario'!$C:$C,$B20)/(SUMIFS('Datos diario'!$F:$F,'Datos diario'!$C:$C,$B20)+SUMIFS('Datos diario'!$G:$G,'Datos diario'!$C:$C,$B20)),""))</f>
        <v/>
      </c>
      <c r="H20" s="30">
        <f>IF($B20="","",IFERROR(SUMIFS('Datos diario'!$I:$I,'Datos diario'!$C:$C,$B20)/SUMIFS('Datos diario'!$E:$E,'Datos diario'!$C:$C,$B20)*100,""))</f>
        <v/>
      </c>
      <c r="I20" s="30">
        <f>IF($B20="","",IFERROR(AVERAGEIFS('Datos diario'!$M:$M,'Datos diario'!$C:$C,$B20,'Datos diario'!$L:$L,"&gt;0"),""))</f>
        <v/>
      </c>
      <c r="J20" s="39">
        <f>IF($A20="","",IFERROR(IF(INDEX('Línea base'!$F$6:$F$17,MATCH($A20,'Línea base'!$A$6:$A$17,0))="","",INDEX('Línea base'!$F$6:$F$17,MATCH($A20,'Línea base'!$A$6:$A$17,0))),""))</f>
        <v/>
      </c>
      <c r="K20" s="31">
        <f>IF($B20="","",SUMIFS('Datos diario'!$P:$P,'Datos diario'!$C:$C,$B20))</f>
        <v/>
      </c>
      <c r="L20" s="32">
        <f>IF($B20="","",IFERROR(SUMIFS('Datos diario'!$P:$P,'Datos diario'!$C:$C,$B20)/SUMIFS('Datos diario'!$O:$O,'Datos diario'!$C:$C,$B20),""))</f>
        <v/>
      </c>
      <c r="M20" s="32">
        <f>IF($B20="","",IFERROR(SUMIFS('Datos diario'!$T:$T,'Datos diario'!$C:$C,$B20)/SUMIFS('Datos diario'!$Q:$Q,'Datos diario'!$C:$C,$B20),""))</f>
        <v/>
      </c>
      <c r="N20" s="39">
        <f>IF($A20="","",IFERROR(IF(INDEX('Línea base'!$H$6:$H$17,MATCH($A20,'Línea base'!$A$6:$A$17,0))="","",INDEX('Línea base'!$H$6:$H$17,MATCH($A20,'Línea base'!$A$6:$A$17,0))),""))</f>
        <v/>
      </c>
      <c r="O20" s="39">
        <f>IF($B20="","",IFERROR(SUMIFS('Datos diario'!$U:$U,'Datos diario'!$C:$C,$B20)/E20,""))</f>
        <v/>
      </c>
      <c r="P20" s="31">
        <f>IF($B20="","",SUMIFS('Datos diario'!$X:$X,'Datos diario'!$C:$C,$B20))</f>
        <v/>
      </c>
      <c r="Q20" s="32">
        <f>IF($B20="","",IFERROR(SUMIFS('Datos diario'!$AB:$AB,'Datos diario'!$C:$C,$B20)/SUMIFS('Datos diario'!$AA:$AA,'Datos diario'!$C:$C,$B20),""))</f>
        <v/>
      </c>
      <c r="R20" s="30">
        <f>IF($A20="","",IFERROR(AVERAGEIFS('Revisión semanal'!$L$6:$L$205,'Revisión semanal'!$B$6:$B$205,$A20),""))</f>
        <v/>
      </c>
      <c r="S20" s="30">
        <f>IF($A20="","",IFERROR(AVERAGEIFS('Revisión semanal'!$M$6:$M$205,'Revisión semanal'!$B$6:$B$205,$A20),""))</f>
        <v/>
      </c>
      <c r="T20" s="39">
        <f>IF($A20="","",IFERROR(IF(INDEX('Línea base'!$D$6:$D$17,MATCH($A20,'Línea base'!$A$6:$A$17,0))="","",INDEX('Línea base'!$D$6:$D$17,MATCH($A20,'Línea base'!$A$6:$A$17,0))),""))</f>
        <v/>
      </c>
      <c r="U20" s="30">
        <f>IF($A20="","",IFERROR(AVERAGEIFS('Clientas'!$G$6:$G$405,'Clientas'!$B$6:$B$405,$A20),""))</f>
        <v/>
      </c>
      <c r="V20" s="30">
        <f>IF($A20="","",IFERROR(AVERAGEIFS('Equipo'!$D$6:$D$155,'Equipo'!$B$6:$B$155,$A20),""))</f>
        <v/>
      </c>
      <c r="W20" s="39">
        <f>IF($A20="","",IFERROR(IF(INDEX('Cierre'!$C$6:$C$17,MATCH($A20,'Cierre'!$B$6:$B$17,0))="","",INDEX('Cierre'!$C$6:$C$17,MATCH($A20,'Cierre'!$B$6:$B$17,0))),""))</f>
        <v/>
      </c>
      <c r="X20" s="31">
        <f>IF($A20="","",IFERROR(IF(INDEX('Cierre'!$F$6:$F$17,MATCH($A20,'Cierre'!$B$6:$B$17,0))="","",INDEX('Cierre'!$F$6:$F$17,MATCH($A20,'Cierre'!$B$6:$B$17,0))),""))</f>
        <v/>
      </c>
      <c r="Y20" s="23">
        <f>IF($A20="","",IF(W20="","Sin cierre todavía",IF(AND(W20&gt;=9,N(G20)&gt;=0.6),"Testimonio: pídeselo",IF(W20&lt;=6,"Riesgo: entender por qué","Seguir midiendo"))))</f>
        <v/>
      </c>
    </row>
    <row r="21">
      <c r="A21" s="38">
        <f>IF(Perfil!$A$15="","",Perfil!$A$15)</f>
        <v/>
      </c>
      <c r="B21" s="23">
        <f>IF(OR($A21="",Perfil!$B$15="no está en Lalan"),"",Perfil!$B$15)</f>
        <v/>
      </c>
      <c r="C21" s="23">
        <f>IF($A21="","",IF(Perfil!$Q$15="","—",Perfil!$Q$15))</f>
        <v/>
      </c>
      <c r="D21" s="39">
        <f>IF($B21="","",COUNTIFS('Datos diario'!$C:$C,$B21))</f>
        <v/>
      </c>
      <c r="E21" s="39">
        <f>IF($B21="","",COUNTIFS('Datos diario'!$C:$C,$B21,'Datos diario'!$U:$U,"&gt;0"))</f>
        <v/>
      </c>
      <c r="F21" s="31">
        <f>IF($B21="","",SUMIFS('Datos diario'!$E:$E,'Datos diario'!$C:$C,$B21))</f>
        <v/>
      </c>
      <c r="G21" s="32">
        <f>IF($B21="","",IFERROR(SUMIFS('Datos diario'!$F:$F,'Datos diario'!$C:$C,$B21)/(SUMIFS('Datos diario'!$F:$F,'Datos diario'!$C:$C,$B21)+SUMIFS('Datos diario'!$G:$G,'Datos diario'!$C:$C,$B21)),""))</f>
        <v/>
      </c>
      <c r="H21" s="30">
        <f>IF($B21="","",IFERROR(SUMIFS('Datos diario'!$I:$I,'Datos diario'!$C:$C,$B21)/SUMIFS('Datos diario'!$E:$E,'Datos diario'!$C:$C,$B21)*100,""))</f>
        <v/>
      </c>
      <c r="I21" s="30">
        <f>IF($B21="","",IFERROR(AVERAGEIFS('Datos diario'!$M:$M,'Datos diario'!$C:$C,$B21,'Datos diario'!$L:$L,"&gt;0"),""))</f>
        <v/>
      </c>
      <c r="J21" s="39">
        <f>IF($A21="","",IFERROR(IF(INDEX('Línea base'!$F$6:$F$17,MATCH($A21,'Línea base'!$A$6:$A$17,0))="","",INDEX('Línea base'!$F$6:$F$17,MATCH($A21,'Línea base'!$A$6:$A$17,0))),""))</f>
        <v/>
      </c>
      <c r="K21" s="31">
        <f>IF($B21="","",SUMIFS('Datos diario'!$P:$P,'Datos diario'!$C:$C,$B21))</f>
        <v/>
      </c>
      <c r="L21" s="32">
        <f>IF($B21="","",IFERROR(SUMIFS('Datos diario'!$P:$P,'Datos diario'!$C:$C,$B21)/SUMIFS('Datos diario'!$O:$O,'Datos diario'!$C:$C,$B21),""))</f>
        <v/>
      </c>
      <c r="M21" s="32">
        <f>IF($B21="","",IFERROR(SUMIFS('Datos diario'!$T:$T,'Datos diario'!$C:$C,$B21)/SUMIFS('Datos diario'!$Q:$Q,'Datos diario'!$C:$C,$B21),""))</f>
        <v/>
      </c>
      <c r="N21" s="39">
        <f>IF($A21="","",IFERROR(IF(INDEX('Línea base'!$H$6:$H$17,MATCH($A21,'Línea base'!$A$6:$A$17,0))="","",INDEX('Línea base'!$H$6:$H$17,MATCH($A21,'Línea base'!$A$6:$A$17,0))),""))</f>
        <v/>
      </c>
      <c r="O21" s="39">
        <f>IF($B21="","",IFERROR(SUMIFS('Datos diario'!$U:$U,'Datos diario'!$C:$C,$B21)/E21,""))</f>
        <v/>
      </c>
      <c r="P21" s="31">
        <f>IF($B21="","",SUMIFS('Datos diario'!$X:$X,'Datos diario'!$C:$C,$B21))</f>
        <v/>
      </c>
      <c r="Q21" s="32">
        <f>IF($B21="","",IFERROR(SUMIFS('Datos diario'!$AB:$AB,'Datos diario'!$C:$C,$B21)/SUMIFS('Datos diario'!$AA:$AA,'Datos diario'!$C:$C,$B21),""))</f>
        <v/>
      </c>
      <c r="R21" s="30">
        <f>IF($A21="","",IFERROR(AVERAGEIFS('Revisión semanal'!$L$6:$L$205,'Revisión semanal'!$B$6:$B$205,$A21),""))</f>
        <v/>
      </c>
      <c r="S21" s="30">
        <f>IF($A21="","",IFERROR(AVERAGEIFS('Revisión semanal'!$M$6:$M$205,'Revisión semanal'!$B$6:$B$205,$A21),""))</f>
        <v/>
      </c>
      <c r="T21" s="39">
        <f>IF($A21="","",IFERROR(IF(INDEX('Línea base'!$D$6:$D$17,MATCH($A21,'Línea base'!$A$6:$A$17,0))="","",INDEX('Línea base'!$D$6:$D$17,MATCH($A21,'Línea base'!$A$6:$A$17,0))),""))</f>
        <v/>
      </c>
      <c r="U21" s="30">
        <f>IF($A21="","",IFERROR(AVERAGEIFS('Clientas'!$G$6:$G$405,'Clientas'!$B$6:$B$405,$A21),""))</f>
        <v/>
      </c>
      <c r="V21" s="30">
        <f>IF($A21="","",IFERROR(AVERAGEIFS('Equipo'!$D$6:$D$155,'Equipo'!$B$6:$B$155,$A21),""))</f>
        <v/>
      </c>
      <c r="W21" s="39">
        <f>IF($A21="","",IFERROR(IF(INDEX('Cierre'!$C$6:$C$17,MATCH($A21,'Cierre'!$B$6:$B$17,0))="","",INDEX('Cierre'!$C$6:$C$17,MATCH($A21,'Cierre'!$B$6:$B$17,0))),""))</f>
        <v/>
      </c>
      <c r="X21" s="31">
        <f>IF($A21="","",IFERROR(IF(INDEX('Cierre'!$F$6:$F$17,MATCH($A21,'Cierre'!$B$6:$B$17,0))="","",INDEX('Cierre'!$F$6:$F$17,MATCH($A21,'Cierre'!$B$6:$B$17,0))),""))</f>
        <v/>
      </c>
      <c r="Y21" s="23">
        <f>IF($A21="","",IF(W21="","Sin cierre todavía",IF(AND(W21&gt;=9,N(G21)&gt;=0.6),"Testimonio: pídeselo",IF(W21&lt;=6,"Riesgo: entender por qué","Seguir midiendo"))))</f>
        <v/>
      </c>
    </row>
    <row r="22">
      <c r="A22" s="38">
        <f>IF(Perfil!$A$16="","",Perfil!$A$16)</f>
        <v/>
      </c>
      <c r="B22" s="23">
        <f>IF(OR($A22="",Perfil!$B$16="no está en Lalan"),"",Perfil!$B$16)</f>
        <v/>
      </c>
      <c r="C22" s="23">
        <f>IF($A22="","",IF(Perfil!$Q$16="","—",Perfil!$Q$16))</f>
        <v/>
      </c>
      <c r="D22" s="39">
        <f>IF($B22="","",COUNTIFS('Datos diario'!$C:$C,$B22))</f>
        <v/>
      </c>
      <c r="E22" s="39">
        <f>IF($B22="","",COUNTIFS('Datos diario'!$C:$C,$B22,'Datos diario'!$U:$U,"&gt;0"))</f>
        <v/>
      </c>
      <c r="F22" s="31">
        <f>IF($B22="","",SUMIFS('Datos diario'!$E:$E,'Datos diario'!$C:$C,$B22))</f>
        <v/>
      </c>
      <c r="G22" s="32">
        <f>IF($B22="","",IFERROR(SUMIFS('Datos diario'!$F:$F,'Datos diario'!$C:$C,$B22)/(SUMIFS('Datos diario'!$F:$F,'Datos diario'!$C:$C,$B22)+SUMIFS('Datos diario'!$G:$G,'Datos diario'!$C:$C,$B22)),""))</f>
        <v/>
      </c>
      <c r="H22" s="30">
        <f>IF($B22="","",IFERROR(SUMIFS('Datos diario'!$I:$I,'Datos diario'!$C:$C,$B22)/SUMIFS('Datos diario'!$E:$E,'Datos diario'!$C:$C,$B22)*100,""))</f>
        <v/>
      </c>
      <c r="I22" s="30">
        <f>IF($B22="","",IFERROR(AVERAGEIFS('Datos diario'!$M:$M,'Datos diario'!$C:$C,$B22,'Datos diario'!$L:$L,"&gt;0"),""))</f>
        <v/>
      </c>
      <c r="J22" s="39">
        <f>IF($A22="","",IFERROR(IF(INDEX('Línea base'!$F$6:$F$17,MATCH($A22,'Línea base'!$A$6:$A$17,0))="","",INDEX('Línea base'!$F$6:$F$17,MATCH($A22,'Línea base'!$A$6:$A$17,0))),""))</f>
        <v/>
      </c>
      <c r="K22" s="31">
        <f>IF($B22="","",SUMIFS('Datos diario'!$P:$P,'Datos diario'!$C:$C,$B22))</f>
        <v/>
      </c>
      <c r="L22" s="32">
        <f>IF($B22="","",IFERROR(SUMIFS('Datos diario'!$P:$P,'Datos diario'!$C:$C,$B22)/SUMIFS('Datos diario'!$O:$O,'Datos diario'!$C:$C,$B22),""))</f>
        <v/>
      </c>
      <c r="M22" s="32">
        <f>IF($B22="","",IFERROR(SUMIFS('Datos diario'!$T:$T,'Datos diario'!$C:$C,$B22)/SUMIFS('Datos diario'!$Q:$Q,'Datos diario'!$C:$C,$B22),""))</f>
        <v/>
      </c>
      <c r="N22" s="39">
        <f>IF($A22="","",IFERROR(IF(INDEX('Línea base'!$H$6:$H$17,MATCH($A22,'Línea base'!$A$6:$A$17,0))="","",INDEX('Línea base'!$H$6:$H$17,MATCH($A22,'Línea base'!$A$6:$A$17,0))),""))</f>
        <v/>
      </c>
      <c r="O22" s="39">
        <f>IF($B22="","",IFERROR(SUMIFS('Datos diario'!$U:$U,'Datos diario'!$C:$C,$B22)/E22,""))</f>
        <v/>
      </c>
      <c r="P22" s="31">
        <f>IF($B22="","",SUMIFS('Datos diario'!$X:$X,'Datos diario'!$C:$C,$B22))</f>
        <v/>
      </c>
      <c r="Q22" s="32">
        <f>IF($B22="","",IFERROR(SUMIFS('Datos diario'!$AB:$AB,'Datos diario'!$C:$C,$B22)/SUMIFS('Datos diario'!$AA:$AA,'Datos diario'!$C:$C,$B22),""))</f>
        <v/>
      </c>
      <c r="R22" s="30">
        <f>IF($A22="","",IFERROR(AVERAGEIFS('Revisión semanal'!$L$6:$L$205,'Revisión semanal'!$B$6:$B$205,$A22),""))</f>
        <v/>
      </c>
      <c r="S22" s="30">
        <f>IF($A22="","",IFERROR(AVERAGEIFS('Revisión semanal'!$M$6:$M$205,'Revisión semanal'!$B$6:$B$205,$A22),""))</f>
        <v/>
      </c>
      <c r="T22" s="39">
        <f>IF($A22="","",IFERROR(IF(INDEX('Línea base'!$D$6:$D$17,MATCH($A22,'Línea base'!$A$6:$A$17,0))="","",INDEX('Línea base'!$D$6:$D$17,MATCH($A22,'Línea base'!$A$6:$A$17,0))),""))</f>
        <v/>
      </c>
      <c r="U22" s="30">
        <f>IF($A22="","",IFERROR(AVERAGEIFS('Clientas'!$G$6:$G$405,'Clientas'!$B$6:$B$405,$A22),""))</f>
        <v/>
      </c>
      <c r="V22" s="30">
        <f>IF($A22="","",IFERROR(AVERAGEIFS('Equipo'!$D$6:$D$155,'Equipo'!$B$6:$B$155,$A22),""))</f>
        <v/>
      </c>
      <c r="W22" s="39">
        <f>IF($A22="","",IFERROR(IF(INDEX('Cierre'!$C$6:$C$17,MATCH($A22,'Cierre'!$B$6:$B$17,0))="","",INDEX('Cierre'!$C$6:$C$17,MATCH($A22,'Cierre'!$B$6:$B$17,0))),""))</f>
        <v/>
      </c>
      <c r="X22" s="31">
        <f>IF($A22="","",IFERROR(IF(INDEX('Cierre'!$F$6:$F$17,MATCH($A22,'Cierre'!$B$6:$B$17,0))="","",INDEX('Cierre'!$F$6:$F$17,MATCH($A22,'Cierre'!$B$6:$B$17,0))),""))</f>
        <v/>
      </c>
      <c r="Y22" s="23">
        <f>IF($A22="","",IF(W22="","Sin cierre todavía",IF(AND(W22&gt;=9,N(G22)&gt;=0.6),"Testimonio: pídeselo",IF(W22&lt;=6,"Riesgo: entender por qué","Seguir midiendo"))))</f>
        <v/>
      </c>
    </row>
    <row r="23">
      <c r="A23" s="38">
        <f>IF(Perfil!$A$17="","",Perfil!$A$17)</f>
        <v/>
      </c>
      <c r="B23" s="23">
        <f>IF(OR($A23="",Perfil!$B$17="no está en Lalan"),"",Perfil!$B$17)</f>
        <v/>
      </c>
      <c r="C23" s="23">
        <f>IF($A23="","",IF(Perfil!$Q$17="","—",Perfil!$Q$17))</f>
        <v/>
      </c>
      <c r="D23" s="39">
        <f>IF($B23="","",COUNTIFS('Datos diario'!$C:$C,$B23))</f>
        <v/>
      </c>
      <c r="E23" s="39">
        <f>IF($B23="","",COUNTIFS('Datos diario'!$C:$C,$B23,'Datos diario'!$U:$U,"&gt;0"))</f>
        <v/>
      </c>
      <c r="F23" s="31">
        <f>IF($B23="","",SUMIFS('Datos diario'!$E:$E,'Datos diario'!$C:$C,$B23))</f>
        <v/>
      </c>
      <c r="G23" s="32">
        <f>IF($B23="","",IFERROR(SUMIFS('Datos diario'!$F:$F,'Datos diario'!$C:$C,$B23)/(SUMIFS('Datos diario'!$F:$F,'Datos diario'!$C:$C,$B23)+SUMIFS('Datos diario'!$G:$G,'Datos diario'!$C:$C,$B23)),""))</f>
        <v/>
      </c>
      <c r="H23" s="30">
        <f>IF($B23="","",IFERROR(SUMIFS('Datos diario'!$I:$I,'Datos diario'!$C:$C,$B23)/SUMIFS('Datos diario'!$E:$E,'Datos diario'!$C:$C,$B23)*100,""))</f>
        <v/>
      </c>
      <c r="I23" s="30">
        <f>IF($B23="","",IFERROR(AVERAGEIFS('Datos diario'!$M:$M,'Datos diario'!$C:$C,$B23,'Datos diario'!$L:$L,"&gt;0"),""))</f>
        <v/>
      </c>
      <c r="J23" s="39">
        <f>IF($A23="","",IFERROR(IF(INDEX('Línea base'!$F$6:$F$17,MATCH($A23,'Línea base'!$A$6:$A$17,0))="","",INDEX('Línea base'!$F$6:$F$17,MATCH($A23,'Línea base'!$A$6:$A$17,0))),""))</f>
        <v/>
      </c>
      <c r="K23" s="31">
        <f>IF($B23="","",SUMIFS('Datos diario'!$P:$P,'Datos diario'!$C:$C,$B23))</f>
        <v/>
      </c>
      <c r="L23" s="32">
        <f>IF($B23="","",IFERROR(SUMIFS('Datos diario'!$P:$P,'Datos diario'!$C:$C,$B23)/SUMIFS('Datos diario'!$O:$O,'Datos diario'!$C:$C,$B23),""))</f>
        <v/>
      </c>
      <c r="M23" s="32">
        <f>IF($B23="","",IFERROR(SUMIFS('Datos diario'!$T:$T,'Datos diario'!$C:$C,$B23)/SUMIFS('Datos diario'!$Q:$Q,'Datos diario'!$C:$C,$B23),""))</f>
        <v/>
      </c>
      <c r="N23" s="39">
        <f>IF($A23="","",IFERROR(IF(INDEX('Línea base'!$H$6:$H$17,MATCH($A23,'Línea base'!$A$6:$A$17,0))="","",INDEX('Línea base'!$H$6:$H$17,MATCH($A23,'Línea base'!$A$6:$A$17,0))),""))</f>
        <v/>
      </c>
      <c r="O23" s="39">
        <f>IF($B23="","",IFERROR(SUMIFS('Datos diario'!$U:$U,'Datos diario'!$C:$C,$B23)/E23,""))</f>
        <v/>
      </c>
      <c r="P23" s="31">
        <f>IF($B23="","",SUMIFS('Datos diario'!$X:$X,'Datos diario'!$C:$C,$B23))</f>
        <v/>
      </c>
      <c r="Q23" s="32">
        <f>IF($B23="","",IFERROR(SUMIFS('Datos diario'!$AB:$AB,'Datos diario'!$C:$C,$B23)/SUMIFS('Datos diario'!$AA:$AA,'Datos diario'!$C:$C,$B23),""))</f>
        <v/>
      </c>
      <c r="R23" s="30">
        <f>IF($A23="","",IFERROR(AVERAGEIFS('Revisión semanal'!$L$6:$L$205,'Revisión semanal'!$B$6:$B$205,$A23),""))</f>
        <v/>
      </c>
      <c r="S23" s="30">
        <f>IF($A23="","",IFERROR(AVERAGEIFS('Revisión semanal'!$M$6:$M$205,'Revisión semanal'!$B$6:$B$205,$A23),""))</f>
        <v/>
      </c>
      <c r="T23" s="39">
        <f>IF($A23="","",IFERROR(IF(INDEX('Línea base'!$D$6:$D$17,MATCH($A23,'Línea base'!$A$6:$A$17,0))="","",INDEX('Línea base'!$D$6:$D$17,MATCH($A23,'Línea base'!$A$6:$A$17,0))),""))</f>
        <v/>
      </c>
      <c r="U23" s="30">
        <f>IF($A23="","",IFERROR(AVERAGEIFS('Clientas'!$G$6:$G$405,'Clientas'!$B$6:$B$405,$A23),""))</f>
        <v/>
      </c>
      <c r="V23" s="30">
        <f>IF($A23="","",IFERROR(AVERAGEIFS('Equipo'!$D$6:$D$155,'Equipo'!$B$6:$B$155,$A23),""))</f>
        <v/>
      </c>
      <c r="W23" s="39">
        <f>IF($A23="","",IFERROR(IF(INDEX('Cierre'!$C$6:$C$17,MATCH($A23,'Cierre'!$B$6:$B$17,0))="","",INDEX('Cierre'!$C$6:$C$17,MATCH($A23,'Cierre'!$B$6:$B$17,0))),""))</f>
        <v/>
      </c>
      <c r="X23" s="31">
        <f>IF($A23="","",IFERROR(IF(INDEX('Cierre'!$F$6:$F$17,MATCH($A23,'Cierre'!$B$6:$B$17,0))="","",INDEX('Cierre'!$F$6:$F$17,MATCH($A23,'Cierre'!$B$6:$B$17,0))),""))</f>
        <v/>
      </c>
      <c r="Y23" s="23">
        <f>IF($A23="","",IF(W23="","Sin cierre todavía",IF(AND(W23&gt;=9,N(G23)&gt;=0.6),"Testimonio: pídeselo",IF(W23&lt;=6,"Riesgo: entender por qué","Seguir midiendo"))))</f>
        <v/>
      </c>
    </row>
    <row r="25">
      <c r="A25" s="2" t="inlineStr">
        <is>
          <t>Antes / hoy: las columnas "Antes" salen de la Línea base (lo que la dueña estimó el día 0); las demás, de lo que midió Lalan. Las celdas vacías significan que todavía no hay datos.</t>
        </is>
      </c>
    </row>
  </sheetData>
  <mergeCells count="16">
    <mergeCell ref="J7:L7"/>
    <mergeCell ref="J5:L5"/>
    <mergeCell ref="J6:L6"/>
    <mergeCell ref="D5:F5"/>
    <mergeCell ref="A5:C5"/>
    <mergeCell ref="G5:I5"/>
    <mergeCell ref="G6:I6"/>
    <mergeCell ref="D8:F8"/>
    <mergeCell ref="A8:C8"/>
    <mergeCell ref="A6:C6"/>
    <mergeCell ref="G7:I7"/>
    <mergeCell ref="G8:I8"/>
    <mergeCell ref="J8:L8"/>
    <mergeCell ref="D7:F7"/>
    <mergeCell ref="A7:C7"/>
    <mergeCell ref="D6:F6"/>
  </mergeCells>
  <conditionalFormatting sqref="G12:G23">
    <cfRule type="dataBar" priority="1">
      <dataBar>
        <cfvo type="num" val="0"/>
        <cfvo type="num" val="1"/>
        <color rgb="00C46B7C"/>
      </dataBar>
    </cfRule>
  </conditionalFormatting>
  <conditionalFormatting sqref="Y12:Y23">
    <cfRule type="cellIs" priority="2" operator="equal" dxfId="0">
      <formula>"Riesgo: entender por qué"</formula>
    </cfRule>
    <cfRule type="cellIs" priority="3" operator="equal" dxfId="1">
      <formula>"Testimonio: pídeselo"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22" customWidth="1" min="3" max="3"/>
    <col width="46" customWidth="1" min="4" max="4"/>
    <col width="16" customWidth="1" min="5" max="5"/>
  </cols>
  <sheetData>
    <row r="1" ht="30" customHeight="1">
      <c r="A1" s="1" t="inlineStr">
        <is>
          <t>Preguntas para Google Forms o Microsoft Forms</t>
        </is>
      </c>
    </row>
    <row r="2">
      <c r="A2" s="2" t="inlineStr">
        <is>
          <t>Cópialas tal cual. El orden coincide con las columnas de las hojas Clientas, Equipo y Cierre, así pegar las respuestas es directo.</t>
        </is>
      </c>
    </row>
    <row r="4">
      <c r="A4" s="3" t="inlineStr">
        <is>
          <t>Encuesta a clientas (2 minutos, anónima)</t>
        </is>
      </c>
    </row>
    <row r="5">
      <c r="A5" s="18" t="inlineStr">
        <is>
          <t>#</t>
        </is>
      </c>
      <c r="B5" s="18" t="inlineStr">
        <is>
          <t>Pregunta</t>
        </is>
      </c>
      <c r="C5" s="18" t="inlineStr">
        <is>
          <t>Tipo de pregunta</t>
        </is>
      </c>
      <c r="D5" s="18" t="inlineStr">
        <is>
          <t>Opciones</t>
        </is>
      </c>
      <c r="E5" s="18" t="inlineStr">
        <is>
          <t>Columna en Clientas</t>
        </is>
      </c>
    </row>
    <row r="6">
      <c r="A6" s="40" t="n">
        <v>1</v>
      </c>
      <c r="B6" s="40" t="inlineStr">
        <is>
          <t>¿En qué salón te atendieron?</t>
        </is>
      </c>
      <c r="C6" s="40" t="inlineStr">
        <is>
          <t>Desplegable</t>
        </is>
      </c>
      <c r="D6" s="40" t="inlineStr">
        <is>
          <t>Los salones del piloto</t>
        </is>
      </c>
      <c r="E6" s="40" t="inlineStr">
        <is>
          <t>B</t>
        </is>
      </c>
    </row>
    <row r="7">
      <c r="A7" s="40" t="n">
        <v>2</v>
      </c>
      <c r="B7" s="40" t="inlineStr">
        <is>
          <t>¿Por dónde le escribiste al salón?</t>
        </is>
      </c>
      <c r="C7" s="40" t="inlineStr">
        <is>
          <t>Opción múltiple</t>
        </is>
      </c>
      <c r="D7" s="40" t="inlineStr">
        <is>
          <t>WhatsApp · Instagram · Messenger · En el salón</t>
        </is>
      </c>
      <c r="E7" s="40" t="inlineStr">
        <is>
          <t>C</t>
        </is>
      </c>
    </row>
    <row r="8">
      <c r="A8" s="40" t="n">
        <v>3</v>
      </c>
      <c r="B8" s="40" t="inlineStr">
        <is>
          <t>¿Qué tan rápido te respondieron?</t>
        </is>
      </c>
      <c r="C8" s="40" t="inlineStr">
        <is>
          <t>Escala 1 a 5</t>
        </is>
      </c>
      <c r="D8" s="40" t="inlineStr">
        <is>
          <t>1 = muy lento · 5 = al momento</t>
        </is>
      </c>
      <c r="E8" s="40" t="inlineStr">
        <is>
          <t>D</t>
        </is>
      </c>
    </row>
    <row r="9">
      <c r="A9" s="40" t="n">
        <v>4</v>
      </c>
      <c r="B9" s="40" t="inlineStr">
        <is>
          <t>¿Te resolvieron lo que pedías?</t>
        </is>
      </c>
      <c r="C9" s="40" t="inlineStr">
        <is>
          <t>Opción múltiple</t>
        </is>
      </c>
      <c r="D9" s="40" t="inlineStr">
        <is>
          <t>Sí · A medias · No</t>
        </is>
      </c>
      <c r="E9" s="40" t="inlineStr">
        <is>
          <t>E</t>
        </is>
      </c>
    </row>
    <row r="10">
      <c r="A10" s="40" t="n">
        <v>5</v>
      </c>
      <c r="B10" s="40" t="inlineStr">
        <is>
          <t>¿Notaste que te atendía una asistente virtual?</t>
        </is>
      </c>
      <c r="C10" s="40" t="inlineStr">
        <is>
          <t>Opción múltiple</t>
        </is>
      </c>
      <c r="D10" s="40" t="inlineStr">
        <is>
          <t>Sí · No · No sé</t>
        </is>
      </c>
      <c r="E10" s="40" t="inlineStr">
        <is>
          <t>F</t>
        </is>
      </c>
    </row>
    <row r="11">
      <c r="A11" s="40" t="n">
        <v>6</v>
      </c>
      <c r="B11" s="40" t="inlineStr">
        <is>
          <t>En general, ¿qué tan contenta quedaste con la atención por mensajes?</t>
        </is>
      </c>
      <c r="C11" s="40" t="inlineStr">
        <is>
          <t>Escala 1 a 5</t>
        </is>
      </c>
      <c r="D11" s="40" t="inlineStr">
        <is>
          <t>1 = nada · 5 = muy contenta</t>
        </is>
      </c>
      <c r="E11" s="40" t="inlineStr">
        <is>
          <t>G</t>
        </is>
      </c>
    </row>
    <row r="12">
      <c r="A12" s="40" t="n">
        <v>7</v>
      </c>
      <c r="B12" s="40" t="inlineStr">
        <is>
          <t>¿Volverías a escribirle al salón por ahí para agendar?</t>
        </is>
      </c>
      <c r="C12" s="40" t="inlineStr">
        <is>
          <t>Opción múltiple</t>
        </is>
      </c>
      <c r="D12" s="40" t="inlineStr">
        <is>
          <t>Sí · No</t>
        </is>
      </c>
      <c r="E12" s="40" t="inlineStr">
        <is>
          <t>H</t>
        </is>
      </c>
    </row>
    <row r="13">
      <c r="A13" s="40" t="n">
        <v>8</v>
      </c>
      <c r="B13" s="40" t="inlineStr">
        <is>
          <t>¿Algo que quieras contarnos?</t>
        </is>
      </c>
      <c r="C13" s="40" t="inlineStr">
        <is>
          <t>Párrafo</t>
        </is>
      </c>
      <c r="D13" s="40" t="inlineStr">
        <is>
          <t>Opcional</t>
        </is>
      </c>
      <c r="E13" s="40" t="inlineStr">
        <is>
          <t>I</t>
        </is>
      </c>
    </row>
    <row r="15">
      <c r="A15" s="3" t="inlineStr">
        <is>
          <t>Encuesta al equipo del salón (3 minutos)</t>
        </is>
      </c>
    </row>
    <row r="16">
      <c r="A16" s="18" t="inlineStr">
        <is>
          <t>#</t>
        </is>
      </c>
      <c r="B16" s="18" t="inlineStr">
        <is>
          <t>Pregunta</t>
        </is>
      </c>
      <c r="C16" s="18" t="inlineStr">
        <is>
          <t>Tipo de pregunta</t>
        </is>
      </c>
      <c r="D16" s="18" t="inlineStr">
        <is>
          <t>Opciones</t>
        </is>
      </c>
      <c r="E16" s="18" t="inlineStr">
        <is>
          <t>Columna en Equipo</t>
        </is>
      </c>
    </row>
    <row r="17">
      <c r="A17" s="40" t="n">
        <v>1</v>
      </c>
      <c r="B17" s="40" t="inlineStr">
        <is>
          <t>¿En qué salón trabajas?</t>
        </is>
      </c>
      <c r="C17" s="40" t="inlineStr">
        <is>
          <t>Desplegable</t>
        </is>
      </c>
      <c r="D17" s="40" t="inlineStr">
        <is>
          <t>Los salones del piloto</t>
        </is>
      </c>
      <c r="E17" s="40" t="inlineStr">
        <is>
          <t>B</t>
        </is>
      </c>
    </row>
    <row r="18">
      <c r="A18" s="40" t="n">
        <v>2</v>
      </c>
      <c r="B18" s="40" t="inlineStr">
        <is>
          <t>¿Cuál es tu rol?</t>
        </is>
      </c>
      <c r="C18" s="40" t="inlineStr">
        <is>
          <t>Opción múltiple</t>
        </is>
      </c>
      <c r="D18" s="40" t="inlineStr">
        <is>
          <t>Dueña · Administración · Recepción · Especialista</t>
        </is>
      </c>
      <c r="E18" s="40" t="inlineStr">
        <is>
          <t>C</t>
        </is>
      </c>
    </row>
    <row r="19">
      <c r="A19" s="40" t="n">
        <v>3</v>
      </c>
      <c r="B19" s="40" t="inlineStr">
        <is>
          <t>¿Qué tan fácil te resulta usar Lalan?</t>
        </is>
      </c>
      <c r="C19" s="40" t="inlineStr">
        <is>
          <t>Escala 1 a 5</t>
        </is>
      </c>
      <c r="D19" s="40" t="inlineStr">
        <is>
          <t>1 = muy difícil · 5 = muy fácil</t>
        </is>
      </c>
      <c r="E19" s="40" t="inlineStr">
        <is>
          <t>D</t>
        </is>
      </c>
    </row>
    <row r="20">
      <c r="A20" s="40" t="n">
        <v>4</v>
      </c>
      <c r="B20" s="40" t="inlineStr">
        <is>
          <t>¿Cuánto tiempo te ahorra en el día?</t>
        </is>
      </c>
      <c r="C20" s="40" t="inlineStr">
        <is>
          <t>Escala 1 a 5</t>
        </is>
      </c>
      <c r="D20" s="40" t="inlineStr">
        <is>
          <t>1 = nada · 5 = muchísimo</t>
        </is>
      </c>
      <c r="E20" s="40" t="inlineStr">
        <is>
          <t>E</t>
        </is>
      </c>
    </row>
    <row r="21">
      <c r="A21" s="40" t="n">
        <v>5</v>
      </c>
      <c r="B21" s="40" t="inlineStr">
        <is>
          <t>¿Cuánto confías en lo que Lalan les responde a las clientas?</t>
        </is>
      </c>
      <c r="C21" s="40" t="inlineStr">
        <is>
          <t>Escala 1 a 5</t>
        </is>
      </c>
      <c r="D21" s="40" t="inlineStr">
        <is>
          <t>1 = nada · 5 = totalmente</t>
        </is>
      </c>
      <c r="E21" s="40" t="inlineStr">
        <is>
          <t>F</t>
        </is>
      </c>
    </row>
    <row r="22">
      <c r="A22" s="40" t="n">
        <v>6</v>
      </c>
      <c r="B22" s="40" t="inlineStr">
        <is>
          <t>¿Qué parte usas más?</t>
        </is>
      </c>
      <c r="C22" s="40" t="inlineStr">
        <is>
          <t>Opción múltiple</t>
        </is>
      </c>
      <c r="D22" s="40" t="inlineStr">
        <is>
          <t>Chats · Agenda · Pantalla de Lalan · Informes · Caja · Inventario · Sala · Lounge</t>
        </is>
      </c>
      <c r="E22" s="40" t="inlineStr">
        <is>
          <t>G</t>
        </is>
      </c>
    </row>
    <row r="23">
      <c r="A23" s="40" t="n">
        <v>7</v>
      </c>
      <c r="B23" s="40" t="inlineStr">
        <is>
          <t>¿Qué es lo que menos entiendes o más te cuesta?</t>
        </is>
      </c>
      <c r="C23" s="40" t="inlineStr">
        <is>
          <t>Párrafo</t>
        </is>
      </c>
      <c r="D23" s="40" t="inlineStr"/>
      <c r="E23" s="40" t="inlineStr">
        <is>
          <t>H</t>
        </is>
      </c>
    </row>
    <row r="24">
      <c r="A24" s="40" t="n">
        <v>8</v>
      </c>
      <c r="B24" s="40" t="inlineStr">
        <is>
          <t>Si pudieras cambiar una cosa, ¿cuál sería?</t>
        </is>
      </c>
      <c r="C24" s="40" t="inlineStr">
        <is>
          <t>Párrafo</t>
        </is>
      </c>
      <c r="D24" s="40" t="inlineStr"/>
      <c r="E24" s="40" t="inlineStr">
        <is>
          <t>I</t>
        </is>
      </c>
    </row>
    <row r="26">
      <c r="A26" s="3" t="inlineStr">
        <is>
          <t>Entrevista de cierre con la dueña (10 minutos, en persona o llamada)</t>
        </is>
      </c>
    </row>
    <row r="27">
      <c r="A27" s="18" t="inlineStr">
        <is>
          <t>#</t>
        </is>
      </c>
      <c r="B27" s="18" t="inlineStr">
        <is>
          <t>Pregunta</t>
        </is>
      </c>
      <c r="C27" s="18" t="inlineStr">
        <is>
          <t>Tipo de pregunta</t>
        </is>
      </c>
      <c r="D27" s="18" t="inlineStr">
        <is>
          <t>Opciones</t>
        </is>
      </c>
      <c r="E27" s="18" t="inlineStr">
        <is>
          <t>Columna en Cierre</t>
        </is>
      </c>
    </row>
    <row r="28">
      <c r="A28" s="40" t="n">
        <v>1</v>
      </c>
      <c r="B28" s="40" t="inlineStr">
        <is>
          <t>Del 0 al 10, ¿qué tan probable es que le recomiendes Lalan a otra dueña de salón?</t>
        </is>
      </c>
      <c r="C28" s="40" t="inlineStr">
        <is>
          <t>Escala 0 a 10</t>
        </is>
      </c>
      <c r="D28" s="40" t="inlineStr">
        <is>
          <t>0 = nada probable · 10 = muy probable</t>
        </is>
      </c>
      <c r="E28" s="40" t="inlineStr">
        <is>
          <t>C</t>
        </is>
      </c>
    </row>
    <row r="29">
      <c r="A29" s="40" t="n">
        <v>2</v>
      </c>
      <c r="B29" s="40" t="inlineStr">
        <is>
          <t>¿Seguirías usando Lalan después del piloto?</t>
        </is>
      </c>
      <c r="C29" s="40" t="inlineStr">
        <is>
          <t>Opción múltiple</t>
        </is>
      </c>
      <c r="D29" s="40" t="inlineStr">
        <is>
          <t>Sí · Tal vez · No</t>
        </is>
      </c>
      <c r="E29" s="40" t="inlineStr">
        <is>
          <t>E</t>
        </is>
      </c>
    </row>
    <row r="30">
      <c r="A30" s="40" t="n">
        <v>3</v>
      </c>
      <c r="B30" s="40" t="inlineStr">
        <is>
          <t>¿Cuánto pagarías al mes por lo que usaste? (RD$)</t>
        </is>
      </c>
      <c r="C30" s="40" t="inlineStr">
        <is>
          <t>Respuesta corta (número)</t>
        </is>
      </c>
      <c r="D30" s="40" t="inlineStr"/>
      <c r="E30" s="40" t="inlineStr">
        <is>
          <t>F</t>
        </is>
      </c>
    </row>
    <row r="31">
      <c r="A31" s="40" t="n">
        <v>4</v>
      </c>
      <c r="B31" s="40" t="inlineStr">
        <is>
          <t>¿Qué plan elegirías?</t>
        </is>
      </c>
      <c r="C31" s="40" t="inlineStr">
        <is>
          <t>Opción múltiple</t>
        </is>
      </c>
      <c r="D31" s="40" t="inlineStr">
        <is>
          <t>Esencial (RD$ 495) · Salón (RD$ 1.490) · Lounge (RD$ 2.990) · Ninguno</t>
        </is>
      </c>
      <c r="E31" s="40" t="inlineStr">
        <is>
          <t>G</t>
        </is>
      </c>
    </row>
    <row r="32">
      <c r="A32" s="40" t="n">
        <v>5</v>
      </c>
      <c r="B32" s="40" t="inlineStr">
        <is>
          <t>¿Qué parte de Lalan te dio más valor?</t>
        </is>
      </c>
      <c r="C32" s="40" t="inlineStr">
        <is>
          <t>Opción múltiple</t>
        </is>
      </c>
      <c r="D32" s="40" t="inlineStr">
        <is>
          <t>Chats · Agenda · Pantalla de Lalan · Informes · Caja · Inventario · Sala · Lounge</t>
        </is>
      </c>
      <c r="E32" s="40" t="inlineStr">
        <is>
          <t>H</t>
        </is>
      </c>
    </row>
    <row r="33">
      <c r="A33" s="40" t="n">
        <v>6</v>
      </c>
      <c r="B33" s="40" t="inlineStr">
        <is>
          <t>¿Qué parte no usaste?</t>
        </is>
      </c>
      <c r="C33" s="40" t="inlineStr">
        <is>
          <t>Opción múltiple</t>
        </is>
      </c>
      <c r="D33" s="40" t="inlineStr">
        <is>
          <t>Chats · Agenda · Pantalla de Lalan · Informes · Caja · Inventario · Sala · Lounge</t>
        </is>
      </c>
      <c r="E33" s="40" t="inlineStr">
        <is>
          <t>I</t>
        </is>
      </c>
    </row>
    <row r="34">
      <c r="A34" s="40" t="n">
        <v>7</v>
      </c>
      <c r="B34" s="40" t="inlineStr">
        <is>
          <t>¿Qué te faltó?</t>
        </is>
      </c>
      <c r="C34" s="40" t="inlineStr">
        <is>
          <t>Párrafo</t>
        </is>
      </c>
      <c r="D34" s="40" t="inlineStr"/>
      <c r="E34" s="40" t="inlineStr">
        <is>
          <t>J</t>
        </is>
      </c>
    </row>
    <row r="35">
      <c r="A35" s="40" t="n">
        <v>8</v>
      </c>
      <c r="B35" s="40" t="inlineStr">
        <is>
          <t>En tus palabras: ¿qué cambió en tu salón con Lalan?</t>
        </is>
      </c>
      <c r="C35" s="40" t="inlineStr">
        <is>
          <t>Párrafo</t>
        </is>
      </c>
      <c r="D35" s="40" t="inlineStr">
        <is>
          <t>Es el testimonio: anótalo literal</t>
        </is>
      </c>
      <c r="E35" s="40" t="inlineStr">
        <is>
          <t>K</t>
        </is>
      </c>
    </row>
    <row r="36">
      <c r="A36" s="40" t="n">
        <v>9</v>
      </c>
      <c r="B36" s="40" t="inlineStr">
        <is>
          <t>¿Podemos usar tu nombre, el del salón y esta frase en la web y redes?</t>
        </is>
      </c>
      <c r="C36" s="40" t="inlineStr">
        <is>
          <t>Opción múltiple</t>
        </is>
      </c>
      <c r="D36" s="40" t="inlineStr">
        <is>
          <t>Sí · No</t>
        </is>
      </c>
      <c r="E36" s="40" t="inlineStr">
        <is>
          <t>L</t>
        </is>
      </c>
    </row>
    <row r="38">
      <c r="A38" s="2" t="inlineStr">
        <is>
          <t>Consejo: en Google Forms, Respuestas → Ver en Hojas de cálculo; copia las columnas en el mismo orden y pégalas en la hoja correspondiente con Pegado especial → Valores.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B3B7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8" customWidth="1" min="8" max="8"/>
    <col width="15" customWidth="1" min="9" max="9"/>
    <col width="19" customWidth="1" min="10" max="10"/>
    <col width="20" customWidth="1" min="11" max="11"/>
    <col width="23" customWidth="1" min="12" max="12"/>
  </cols>
  <sheetData>
    <row r="1">
      <c r="A1" t="inlineStr">
        <is>
          <t>salon_id</t>
        </is>
      </c>
      <c r="B1" t="inlineStr">
        <is>
          <t>salon</t>
        </is>
      </c>
      <c r="C1" t="inlineStr">
        <is>
          <t>plan</t>
        </is>
      </c>
      <c r="D1" t="inlineStr">
        <is>
          <t>activo</t>
        </is>
      </c>
      <c r="E1" t="inlineStr">
        <is>
          <t>alta</t>
        </is>
      </c>
      <c r="F1" t="inlineStr">
        <is>
          <t>dias_en_lalan</t>
        </is>
      </c>
      <c r="G1" t="inlineStr">
        <is>
          <t>sedes</t>
        </is>
      </c>
      <c r="H1" t="inlineStr">
        <is>
          <t>usuarios_activos</t>
        </is>
      </c>
      <c r="I1" t="inlineStr">
        <is>
          <t>especialistas</t>
        </is>
      </c>
      <c r="J1" t="inlineStr">
        <is>
          <t>tope_mensajes_mes</t>
        </is>
      </c>
      <c r="K1" t="inlineStr">
        <is>
          <t>mensajes_lalan_mes</t>
        </is>
      </c>
      <c r="L1" t="inlineStr">
        <is>
          <t>fuera_de_estadisticas</t>
        </is>
      </c>
    </row>
    <row r="2">
      <c r="E2" s="4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BFB3B7"/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8" customWidth="1" min="6" max="6"/>
    <col width="19" customWidth="1" min="7" max="7"/>
    <col width="14" customWidth="1" min="8" max="8"/>
    <col width="17" customWidth="1" min="9" max="9"/>
    <col width="19" customWidth="1" min="10" max="10"/>
    <col width="14" customWidth="1" min="11" max="11"/>
    <col width="24" customWidth="1" min="12" max="12"/>
    <col width="20" customWidth="1" min="13" max="13"/>
    <col width="24" customWidth="1" min="14" max="14"/>
    <col width="17" customWidth="1" min="15" max="15"/>
    <col width="17" customWidth="1" min="16" max="16"/>
    <col width="15" customWidth="1" min="17" max="17"/>
    <col width="17" customWidth="1" min="18" max="18"/>
    <col width="18" customWidth="1" min="19" max="19"/>
    <col width="18" customWidth="1" min="20" max="20"/>
    <col width="13" customWidth="1" min="21" max="21"/>
    <col width="18" customWidth="1" min="22" max="22"/>
    <col width="10" customWidth="1" min="23" max="23"/>
    <col width="17" customWidth="1" min="24" max="24"/>
    <col width="19" customWidth="1" min="25" max="25"/>
    <col width="20" customWidth="1" min="26" max="26"/>
    <col width="19" customWidth="1" min="27" max="27"/>
    <col width="19" customWidth="1" min="28" max="28"/>
    <col width="17" customWidth="1" min="29" max="29"/>
  </cols>
  <sheetData>
    <row r="1">
      <c r="A1" t="inlineStr">
        <is>
          <t>fecha</t>
        </is>
      </c>
      <c r="B1" t="inlineStr">
        <is>
          <t>semana</t>
        </is>
      </c>
      <c r="C1" t="inlineStr">
        <is>
          <t>salon_id</t>
        </is>
      </c>
      <c r="D1" t="inlineStr">
        <is>
          <t>salon</t>
        </is>
      </c>
      <c r="E1" t="inlineStr">
        <is>
          <t>mensajes_clientas</t>
        </is>
      </c>
      <c r="F1" t="inlineStr">
        <is>
          <t>respuestas_lalan</t>
        </is>
      </c>
      <c r="G1" t="inlineStr">
        <is>
          <t>respuestas_equipo</t>
        </is>
      </c>
      <c r="H1" t="inlineStr">
        <is>
          <t>chats_nuevos</t>
        </is>
      </c>
      <c r="I1" t="inlineStr">
        <is>
          <t>pases_a_persona</t>
        </is>
      </c>
      <c r="J1" t="inlineStr">
        <is>
          <t>sin_mensajes_plan</t>
        </is>
      </c>
      <c r="K1" t="inlineStr">
        <is>
          <t>fallos_lalan</t>
        </is>
      </c>
      <c r="L1" t="inlineStr">
        <is>
          <t>respuestas_equipo_medidas</t>
        </is>
      </c>
      <c r="M1" t="inlineStr">
        <is>
          <t>espera_mediana_min</t>
        </is>
      </c>
      <c r="N1" t="inlineStr">
        <is>
          <t>respuestas_lentas_30min</t>
        </is>
      </c>
      <c r="O1" t="inlineStr">
        <is>
          <t>citas_agendadas</t>
        </is>
      </c>
      <c r="P1" t="inlineStr">
        <is>
          <t>citas_por_lalan</t>
        </is>
      </c>
      <c r="Q1" t="inlineStr">
        <is>
          <t>citas_del_dia</t>
        </is>
      </c>
      <c r="R1" t="inlineStr">
        <is>
          <t>citas_atendidas</t>
        </is>
      </c>
      <c r="S1" t="inlineStr">
        <is>
          <t>citas_canceladas</t>
        </is>
      </c>
      <c r="T1" t="inlineStr">
        <is>
          <t>citas_sin_marcar</t>
        </is>
      </c>
      <c r="U1" t="inlineStr">
        <is>
          <t>minutos_app</t>
        </is>
      </c>
      <c r="V1" t="inlineStr">
        <is>
          <t>pantallas_vistas</t>
        </is>
      </c>
      <c r="W1" t="inlineStr">
        <is>
          <t>toques</t>
        </is>
      </c>
      <c r="X1" t="inlineStr">
        <is>
          <t>preguntas_lalan</t>
        </is>
      </c>
      <c r="Y1" t="inlineStr">
        <is>
          <t>preguntas_por_voz</t>
        </is>
      </c>
      <c r="Z1" t="inlineStr">
        <is>
          <t>acciones_aceptadas</t>
        </is>
      </c>
      <c r="AA1" t="inlineStr">
        <is>
          <t>informes_enviados</t>
        </is>
      </c>
      <c r="AB1" t="inlineStr">
        <is>
          <t>informes_abiertos</t>
        </is>
      </c>
      <c r="AC1" t="inlineStr">
        <is>
          <t>ventas_cobradas</t>
        </is>
      </c>
    </row>
    <row r="2">
      <c r="A2" s="41" t="n"/>
      <c r="B2" s="41" t="n"/>
      <c r="M2" s="42" t="n"/>
      <c r="U2" s="4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BFB3B7"/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semana</t>
        </is>
      </c>
      <c r="B1" t="inlineStr">
        <is>
          <t>salon_id</t>
        </is>
      </c>
      <c r="C1" t="inlineStr">
        <is>
          <t>salon</t>
        </is>
      </c>
      <c r="D1" t="inlineStr">
        <is>
          <t>pantalla</t>
        </is>
      </c>
      <c r="E1" t="inlineStr">
        <is>
          <t>rol</t>
        </is>
      </c>
      <c r="F1" t="inlineStr">
        <is>
          <t>visitas</t>
        </is>
      </c>
      <c r="G1" t="inlineStr">
        <is>
          <t>minutos</t>
        </is>
      </c>
    </row>
    <row r="2">
      <c r="A2" s="41" t="n"/>
      <c r="G2" s="4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972B03-BB97-4F03-923D-0EA0D1AD50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2026-10-03T20:24:00Z</dcterms:created>
  <dcterms:modified xmlns:dcterms="http://purl.org/dc/terms/" xmlns:xsi="http://www.w3.org/2001/XMLSchema-instance" xsi:type="dcterms:W3CDTF">2026-10-03T20:24:00Z</dcterms:modified>
</cp:coreProperties>
</file>